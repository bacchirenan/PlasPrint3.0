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13_ncr:1_{943063A0-ED43-4A30-AA3E-9F44FCBA6D38}" xr6:coauthVersionLast="47" xr6:coauthVersionMax="47" xr10:uidLastSave="{00000000-0000-0000-0000-000000000000}"/>
  <bookViews>
    <workbookView xWindow="3585" yWindow="3585" windowWidth="21600" windowHeight="11295" xr2:uid="{2551C110-448D-4C8A-AC10-E46F4B669B16}"/>
  </bookViews>
  <sheets>
    <sheet name="ENCABEÇAMENTO" sheetId="1" r:id="rId1"/>
    <sheet name="ARTE" sheetId="2" r:id="rId2"/>
    <sheet name="OBSERVAÇÕE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M3" i="2"/>
  <c r="K3" i="2"/>
  <c r="J2" i="2"/>
  <c r="J2" i="1"/>
  <c r="K3" i="1"/>
  <c r="I4" i="1"/>
  <c r="M3" i="1"/>
</calcChain>
</file>

<file path=xl/sharedStrings.xml><?xml version="1.0" encoding="utf-8"?>
<sst xmlns="http://schemas.openxmlformats.org/spreadsheetml/2006/main" count="405" uniqueCount="94">
  <si>
    <t>OS</t>
  </si>
  <si>
    <t>Data</t>
  </si>
  <si>
    <t>Produzidos</t>
  </si>
  <si>
    <t>Perdas</t>
  </si>
  <si>
    <t>Turno</t>
  </si>
  <si>
    <t>Operador</t>
  </si>
  <si>
    <t>A</t>
  </si>
  <si>
    <t>B</t>
  </si>
  <si>
    <t>c/rosa</t>
  </si>
  <si>
    <t>ROSA ALGODÃO DOCE</t>
  </si>
  <si>
    <t>Observação</t>
  </si>
  <si>
    <t>CALCULADORA</t>
  </si>
  <si>
    <t>PRODUÇÃO TOTAL DE CANUDOS</t>
  </si>
  <si>
    <t>PRODUZIDOS</t>
  </si>
  <si>
    <t>PERDAS</t>
  </si>
  <si>
    <t>19/12/1025</t>
  </si>
  <si>
    <t>MÉDIA POR TURNO</t>
  </si>
  <si>
    <t xml:space="preserve"> </t>
  </si>
  <si>
    <t>Coluna1</t>
  </si>
  <si>
    <t>Produção interrompida para concluir garrafa pooh</t>
  </si>
  <si>
    <t>canudos vieram com divergência no tamanho, ocasionando no reajuste da maquina</t>
  </si>
  <si>
    <t>COR 477</t>
  </si>
  <si>
    <t>BRANCO COM ROSA AVON (477)</t>
  </si>
  <si>
    <t xml:space="preserve">  </t>
  </si>
  <si>
    <t xml:space="preserve">CANUDOS </t>
  </si>
  <si>
    <t>CORES</t>
  </si>
  <si>
    <t>DESCRIÇÃO</t>
  </si>
  <si>
    <t>CM8999</t>
  </si>
  <si>
    <t>BRANCO</t>
  </si>
  <si>
    <t>INCOLOR</t>
  </si>
  <si>
    <t>PRETO</t>
  </si>
  <si>
    <t>AZUL</t>
  </si>
  <si>
    <t>VERDE INFANTIL</t>
  </si>
  <si>
    <t>AMARELO MEL</t>
  </si>
  <si>
    <t>LILÁS ESCURO</t>
  </si>
  <si>
    <t>AMARELO TOL STOK</t>
  </si>
  <si>
    <t>BRANCO / INCOLOR</t>
  </si>
  <si>
    <t>BRANCO / PRETO</t>
  </si>
  <si>
    <t>BRANCO / AZUL ESTRELA</t>
  </si>
  <si>
    <t>BRACO COM ROSA AVON</t>
  </si>
  <si>
    <t>BRANCO COM DOURADO</t>
  </si>
  <si>
    <t>ROSE QUEIMADO</t>
  </si>
  <si>
    <t>BRANCO COM ROXO</t>
  </si>
  <si>
    <t>BRANCO COM VERMELHO 142</t>
  </si>
  <si>
    <t>BRANCO COM AMARELO 177</t>
  </si>
  <si>
    <t>BRANCO CHANTILLY</t>
  </si>
  <si>
    <t>BRANCO COM VERMELHO 171</t>
  </si>
  <si>
    <t>BRANCO COM AZUL</t>
  </si>
  <si>
    <t>BRANCO COM LILÁS</t>
  </si>
  <si>
    <t>BRANCO COM ROSA CANDY</t>
  </si>
  <si>
    <t>BRANCO COM ROSA 187</t>
  </si>
  <si>
    <t>BRANCO COM AZUL 483</t>
  </si>
  <si>
    <t>LILÁS ESMALTE</t>
  </si>
  <si>
    <t>NOME</t>
  </si>
  <si>
    <t>RAMAL</t>
  </si>
  <si>
    <t>os</t>
  </si>
  <si>
    <t>números / ramais</t>
  </si>
  <si>
    <t>cor 649</t>
  </si>
  <si>
    <t xml:space="preserve">DUAS OS FEITAS NO MESMO DIA </t>
  </si>
  <si>
    <t>cor 649 PRODUÇÃO PARADA PARA RODAR OUTRA PRIORIDADE DE CANUDOS</t>
  </si>
  <si>
    <t xml:space="preserve"> PRODUÇÃO DE PRIORIDADE (CANUDO 1149) FINALIZADA</t>
  </si>
  <si>
    <t>BRANCO COM AMARELO 177 (COR 649)</t>
  </si>
  <si>
    <t>PRODUÇÃO DE CANUDO BRANCO COM PROBLEMA NO ENCABEÇAMENTO</t>
  </si>
  <si>
    <t>cor 475</t>
  </si>
  <si>
    <t>canudo preto e branco</t>
  </si>
  <si>
    <t xml:space="preserve">cor 475 </t>
  </si>
  <si>
    <t>TREINAMENTO DE MAQUINA</t>
  </si>
  <si>
    <t>NÃO HOUVE PRODUÇÃO, AGUARDANDO MANUTENÇÃO DA MAQUINA</t>
  </si>
  <si>
    <t>MANUTENÇÃO CONCLUÍDA POR VOLTA DAS 10:30, OPERADOR FICOU NAS MAQUINAS E PASSANDO PRIMER POIS O HORÁRIO JÁ ESTAVA PRÓXIMO AO DO ALMOÇO</t>
  </si>
  <si>
    <t>PEREIRA / MANUTENÇÃO</t>
  </si>
  <si>
    <t>VITINHO / CANUDOS</t>
  </si>
  <si>
    <t>RAFAEL / AUTOMAÇÃO</t>
  </si>
  <si>
    <t>OPERADOR DIVIDIU O TEMPO ENTRE A MAQUINA DE CANUDOS E A DE IMPRESSÃO PARA AJUDAS NA PRODUÇÃO DE COPOS</t>
  </si>
  <si>
    <t xml:space="preserve">NÃO HOUVE PRODUÇÃO, OPERADOR FICOU NAS MAQUINAS 180/181 ENQUANTO OS OPERADORES MATHEUS E DIEGO FICARAM RODADANDO COPOS DE CAFÉ NA 28/182 PARA DOBRAR A PRODUÇÃO </t>
  </si>
  <si>
    <t xml:space="preserve">MAQUINA COM PROBLEMA NO CILINDRO DE PRESSÃO, APÓS CILINDRO BAIXAR, OS CANUDOS FICAM GRUDADOS NELE, ACARRETANDO EM UMA SOBREPOSILÇÃO NO CICLO SEGUINTE </t>
  </si>
  <si>
    <t>MAQUINA APRESENTOU PROBLEMA NA QUEDA DE CANUDOS  DA CALHA PARA A CORRENTE, TENTIVA DE MANUTENÇÃO POR OPERADOR RESPONSAVEL</t>
  </si>
  <si>
    <t>PROBLEMA ENCONTRADO, PORÉM, APENAS AUTOMAÇÃO PODE RESOLVER, OPERDOR LIGOU PARA O RESPONSAVEL DA MAQUINA NA AUTOMAÇÃO MAS O MESMO ESTAVA AFASTADO NO DIA POR ATESDADO</t>
  </si>
  <si>
    <t>RESPONSAVEL PELA MANUTENÇÃO DA MAQUINA PERMANECE DE ATESTADO POR TEMPO INDETERMINADO, SIGO AGUARDANDO A MANUTENÇÃO</t>
  </si>
  <si>
    <t>cor 648</t>
  </si>
  <si>
    <t>MAQUINA VOLTA A APRESENTAR DEFEITO NA ENGRENAGEM QUE JOGA OS CANUDOS DA CALHA PARA A ESTEIRA, RAPHAEL DA AUTOMAÇÃO LEVOU O EIXO POR COMPLETO PARA MANUTENÇÃO, AGUARDANDO RETORNO</t>
  </si>
  <si>
    <t>MAQUINA APRESENTOU PROBLEMA NA CONRRENTE DURANTE O TURNO B, AUTOMAÇÃO FOI CHAMADA, PORÉM, APENAS MANUTENÇÃO CONSEGUE MEXER, AGUARDANDO RETORNO DE RESPONSAVEL</t>
  </si>
  <si>
    <t>EMPRESA INTEIRA COM QUEDAS DE ENERGIA, PRESSÃO DAS MAQUINAS PRATICAMENTE NO ZERO</t>
  </si>
  <si>
    <t>APENAS DOIS OPERADORES NO DIA, FIQUEI RODANDO AS MAQUINAS COM O DIEGUINHO, MATHUES NÃO VEIO POR CAUSA DO HORARIO COMERCIAL</t>
  </si>
  <si>
    <t>PROBLEMA ENCONTRADO NA MAQUINA NOVA, ROLO NO QUAL PASSA A ARTE AO CANUDO NÃO ESTÁ PEGANDO O CANUDO POR COMPLETO</t>
  </si>
  <si>
    <t>MAQUINA NOVA DE CANUDOS É REALOCADA AO SETOR DE IMPRESSÃO DIGITAL. MAQUINA VEIO, PORÉM, AINDA COM DEFEITOS E VARIAS REGULAGENS NÃO FEITAS.</t>
  </si>
  <si>
    <t xml:space="preserve">MAQUINA AINDA EM FASE DE TESTES </t>
  </si>
  <si>
    <t>OPERADOR</t>
  </si>
  <si>
    <t>OBSERVAÇÃO</t>
  </si>
  <si>
    <t xml:space="preserve">MAQUINA APRESENTA DEFEITO NO ROLO QUE PASSA AS ARTES PARA O CANUDO, ROLO RACHOU POR COMPLETO </t>
  </si>
  <si>
    <t xml:space="preserve">VOLTA DA MAQUINA 29, OPERADOR AUXILIOU NAS MAQUINAS DE IMPRESSÃO ENQUANTO OPERADOR DIEGO FAZIA TESTES E DPS TROCAVA MOLDE PARA NOVA ORDEM </t>
  </si>
  <si>
    <t xml:space="preserve">MAQUINA NÃO APRESENTOU PROBLEMAS </t>
  </si>
  <si>
    <t>MAQUINA APRESENTA DEFEITO NA ARTE (MINNIE ROSA), FORAM FEITOS VARIOS TESTES  AJUSTES, MAS O DEFEITO PERMANECEU, POSSIVEL PROBLEMA NO TRANSFER</t>
  </si>
  <si>
    <t>MAQUINA APRESENTA DEFEITO NA ARTE (MINNIE ROSA), FORAM FEITOS VARIOS TESTES E AJUSTES, MAS O DEFEITO PERMANECEU, POSSIVEL PROBLEMA NO TRANSFER</t>
  </si>
  <si>
    <t xml:space="preserve">RODANDO TRANSFER E ENCABEÇADORA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</si>
</sst>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8"/>
      <color theme="4" tint="-0.249977111117893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6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sp macro="" textlink="">
      <xdr:nvSpPr>
        <xdr:cNvPr id="1025" name="AutoShape 1" descr="SAC Plasutil| Telefones 0800 | Atendimento Online - SAC 0800">
          <a:extLst>
            <a:ext uri="{FF2B5EF4-FFF2-40B4-BE49-F238E27FC236}">
              <a16:creationId xmlns:a16="http://schemas.microsoft.com/office/drawing/2014/main" id="{6C7B75AD-F326-9C66-294A-BDA0AE932E9D}"/>
            </a:ext>
          </a:extLst>
        </xdr:cNvPr>
        <xdr:cNvSpPr>
          <a:spLocks noChangeAspect="1" noChangeArrowheads="1"/>
        </xdr:cNvSpPr>
      </xdr:nvSpPr>
      <xdr:spPr bwMode="auto">
        <a:xfrm>
          <a:off x="13515975" y="35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304800</xdr:colOff>
      <xdr:row>16</xdr:row>
      <xdr:rowOff>114300</xdr:rowOff>
    </xdr:to>
    <xdr:sp macro="" textlink="">
      <xdr:nvSpPr>
        <xdr:cNvPr id="1026" name="AutoShape 2" descr="SAC Plasutil| Telefones 0800 | Atendimento Online - SAC 0800">
          <a:extLst>
            <a:ext uri="{FF2B5EF4-FFF2-40B4-BE49-F238E27FC236}">
              <a16:creationId xmlns:a16="http://schemas.microsoft.com/office/drawing/2014/main" id="{3F3B131B-6F45-9C0E-A51B-A015B81B41FA}"/>
            </a:ext>
          </a:extLst>
        </xdr:cNvPr>
        <xdr:cNvSpPr>
          <a:spLocks noChangeAspect="1" noChangeArrowheads="1"/>
        </xdr:cNvSpPr>
      </xdr:nvSpPr>
      <xdr:spPr bwMode="auto">
        <a:xfrm>
          <a:off x="12544425" y="30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114300</xdr:rowOff>
    </xdr:to>
    <xdr:sp macro="" textlink="">
      <xdr:nvSpPr>
        <xdr:cNvPr id="1027" name="AutoShape 3" descr="SAC Plasutil| Telefones 0800 | Atendimento Online - SAC 0800">
          <a:extLst>
            <a:ext uri="{FF2B5EF4-FFF2-40B4-BE49-F238E27FC236}">
              <a16:creationId xmlns:a16="http://schemas.microsoft.com/office/drawing/2014/main" id="{BB668EBE-CA7B-B186-6261-F25E6DAAE707}"/>
            </a:ext>
          </a:extLst>
        </xdr:cNvPr>
        <xdr:cNvSpPr>
          <a:spLocks noChangeAspect="1" noChangeArrowheads="1"/>
        </xdr:cNvSpPr>
      </xdr:nvSpPr>
      <xdr:spPr bwMode="auto">
        <a:xfrm>
          <a:off x="10963275" y="18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304800</xdr:colOff>
      <xdr:row>14</xdr:row>
      <xdr:rowOff>114300</xdr:rowOff>
    </xdr:to>
    <xdr:sp macro="" textlink="">
      <xdr:nvSpPr>
        <xdr:cNvPr id="1028" name="AutoShape 4" descr="SAC Plasutil| Telefones 0800 | Atendimento Online - SAC 0800">
          <a:extLst>
            <a:ext uri="{FF2B5EF4-FFF2-40B4-BE49-F238E27FC236}">
              <a16:creationId xmlns:a16="http://schemas.microsoft.com/office/drawing/2014/main" id="{04705FB8-7E29-AB66-9F3E-3372EB6B2BE5}"/>
            </a:ext>
          </a:extLst>
        </xdr:cNvPr>
        <xdr:cNvSpPr>
          <a:spLocks noChangeAspect="1" noChangeArrowheads="1"/>
        </xdr:cNvSpPr>
      </xdr:nvSpPr>
      <xdr:spPr bwMode="auto">
        <a:xfrm>
          <a:off x="15706725" y="2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304800</xdr:colOff>
      <xdr:row>7</xdr:row>
      <xdr:rowOff>114300</xdr:rowOff>
    </xdr:to>
    <xdr:sp macro="" textlink="">
      <xdr:nvSpPr>
        <xdr:cNvPr id="1029" name="AutoShape 5" descr="Crie sua loja virtual e venda sem limites! | ecomece">
          <a:extLst>
            <a:ext uri="{FF2B5EF4-FFF2-40B4-BE49-F238E27FC236}">
              <a16:creationId xmlns:a16="http://schemas.microsoft.com/office/drawing/2014/main" id="{722F6DD5-ED8B-8280-0171-4A6C5BB59988}"/>
            </a:ext>
          </a:extLst>
        </xdr:cNvPr>
        <xdr:cNvSpPr>
          <a:spLocks noChangeAspect="1" noChangeArrowheads="1"/>
        </xdr:cNvSpPr>
      </xdr:nvSpPr>
      <xdr:spPr bwMode="auto">
        <a:xfrm>
          <a:off x="15706725" y="13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304800</xdr:colOff>
      <xdr:row>23</xdr:row>
      <xdr:rowOff>114300</xdr:rowOff>
    </xdr:to>
    <xdr:sp macro="" textlink="">
      <xdr:nvSpPr>
        <xdr:cNvPr id="1030" name="AutoShape 6" descr="Crie sua loja virtual e venda sem limites! | ecomece">
          <a:extLst>
            <a:ext uri="{FF2B5EF4-FFF2-40B4-BE49-F238E27FC236}">
              <a16:creationId xmlns:a16="http://schemas.microsoft.com/office/drawing/2014/main" id="{2EC86C0C-BA97-B258-475A-AE0567F5146C}"/>
            </a:ext>
          </a:extLst>
        </xdr:cNvPr>
        <xdr:cNvSpPr>
          <a:spLocks noChangeAspect="1" noChangeArrowheads="1"/>
        </xdr:cNvSpPr>
      </xdr:nvSpPr>
      <xdr:spPr bwMode="auto">
        <a:xfrm>
          <a:off x="15097125" y="43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22</xdr:row>
      <xdr:rowOff>114300</xdr:rowOff>
    </xdr:to>
    <xdr:sp macro="" textlink="">
      <xdr:nvSpPr>
        <xdr:cNvPr id="1031" name="AutoShape 7" descr="Plasútil Indústria e Comércio de Plásticos Ltda | LinkedIn">
          <a:extLst>
            <a:ext uri="{FF2B5EF4-FFF2-40B4-BE49-F238E27FC236}">
              <a16:creationId xmlns:a16="http://schemas.microsoft.com/office/drawing/2014/main" id="{E1FC2BC3-003F-7FE5-E9CD-C32A84BA83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416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304800</xdr:colOff>
      <xdr:row>19</xdr:row>
      <xdr:rowOff>114300</xdr:rowOff>
    </xdr:to>
    <xdr:sp macro="" textlink="">
      <xdr:nvSpPr>
        <xdr:cNvPr id="1032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A5D51488-5031-E486-54F5-817CE48056CF}"/>
            </a:ext>
          </a:extLst>
        </xdr:cNvPr>
        <xdr:cNvSpPr>
          <a:spLocks noChangeAspect="1" noChangeArrowheads="1"/>
        </xdr:cNvSpPr>
      </xdr:nvSpPr>
      <xdr:spPr bwMode="auto">
        <a:xfrm>
          <a:off x="14487525" y="35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1599338</xdr:colOff>
      <xdr:row>0</xdr:row>
      <xdr:rowOff>0</xdr:rowOff>
    </xdr:from>
    <xdr:to>
      <xdr:col>8</xdr:col>
      <xdr:colOff>95943</xdr:colOff>
      <xdr:row>1</xdr:row>
      <xdr:rowOff>142438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37D784-4113-A0BA-07C3-9A453F38C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72042" y="0"/>
          <a:ext cx="1324947" cy="832515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19</xdr:row>
      <xdr:rowOff>0</xdr:rowOff>
    </xdr:from>
    <xdr:ext cx="304800" cy="304800"/>
    <xdr:sp macro="" textlink="">
      <xdr:nvSpPr>
        <xdr:cNvPr id="2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72ACCADB-FB5A-4488-AC63-294BCCB7DB84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20</xdr:row>
      <xdr:rowOff>0</xdr:rowOff>
    </xdr:from>
    <xdr:ext cx="304800" cy="304800"/>
    <xdr:sp macro="" textlink="">
      <xdr:nvSpPr>
        <xdr:cNvPr id="4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EB8C546B-6E3A-44CA-964C-46C3EB107EB8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304800"/>
    <xdr:sp macro="" textlink="">
      <xdr:nvSpPr>
        <xdr:cNvPr id="5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807B74C9-E08A-4318-B2E5-C2A48EA4B96C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304800"/>
    <xdr:sp macro="" textlink="">
      <xdr:nvSpPr>
        <xdr:cNvPr id="6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05D421E8-A1A2-4D04-9C1F-1C02D5B7883C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</xdr:row>
      <xdr:rowOff>0</xdr:rowOff>
    </xdr:from>
    <xdr:ext cx="304800" cy="304800"/>
    <xdr:sp macro="" textlink="">
      <xdr:nvSpPr>
        <xdr:cNvPr id="7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F5906C6C-20BB-4AD8-9830-2B9B72E11860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</xdr:row>
      <xdr:rowOff>0</xdr:rowOff>
    </xdr:from>
    <xdr:ext cx="304800" cy="304800"/>
    <xdr:sp macro="" textlink="">
      <xdr:nvSpPr>
        <xdr:cNvPr id="8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3E29FE11-0C65-412C-91C6-D6E4094030C9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04800"/>
    <xdr:sp macro="" textlink="">
      <xdr:nvSpPr>
        <xdr:cNvPr id="9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70AFFA23-6EED-42F8-8560-C448EBA649A2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04800"/>
    <xdr:sp macro="" textlink="">
      <xdr:nvSpPr>
        <xdr:cNvPr id="10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EFFA0684-9098-490E-8094-678C4C460A39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</xdr:row>
      <xdr:rowOff>0</xdr:rowOff>
    </xdr:from>
    <xdr:ext cx="304800" cy="304800"/>
    <xdr:sp macro="" textlink="">
      <xdr:nvSpPr>
        <xdr:cNvPr id="11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43D03ED4-73F3-4106-9FA8-6475E9BE2CF4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</xdr:row>
      <xdr:rowOff>0</xdr:rowOff>
    </xdr:from>
    <xdr:ext cx="304800" cy="304800"/>
    <xdr:sp macro="" textlink="">
      <xdr:nvSpPr>
        <xdr:cNvPr id="12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48A30AD1-E716-4C9E-98B4-CB3F2D3EB131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</xdr:row>
      <xdr:rowOff>0</xdr:rowOff>
    </xdr:from>
    <xdr:ext cx="304800" cy="304800"/>
    <xdr:sp macro="" textlink="">
      <xdr:nvSpPr>
        <xdr:cNvPr id="13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19ED9AE0-3764-4CE3-A3A2-0DDBB02F4A9F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</xdr:row>
      <xdr:rowOff>0</xdr:rowOff>
    </xdr:from>
    <xdr:ext cx="304800" cy="304800"/>
    <xdr:sp macro="" textlink="">
      <xdr:nvSpPr>
        <xdr:cNvPr id="14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9F1B24B9-CEFD-4EC0-9EB1-743FE3F78158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</xdr:row>
      <xdr:rowOff>0</xdr:rowOff>
    </xdr:from>
    <xdr:ext cx="304800" cy="304800"/>
    <xdr:sp macro="" textlink="">
      <xdr:nvSpPr>
        <xdr:cNvPr id="15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A0204084-D1DC-4B14-A86E-E04079F6878C}"/>
            </a:ext>
          </a:extLst>
        </xdr:cNvPr>
        <xdr:cNvSpPr>
          <a:spLocks noChangeAspect="1" noChangeArrowheads="1"/>
        </xdr:cNvSpPr>
      </xdr:nvSpPr>
      <xdr:spPr bwMode="auto">
        <a:xfrm>
          <a:off x="155829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75338</xdr:colOff>
      <xdr:row>0</xdr:row>
      <xdr:rowOff>0</xdr:rowOff>
    </xdr:from>
    <xdr:to>
      <xdr:col>7</xdr:col>
      <xdr:colOff>1238250</xdr:colOff>
      <xdr:row>1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1F6F5F1-B4D8-48C7-AAC5-555001261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7938" y="0"/>
          <a:ext cx="1162912" cy="7905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304800</xdr:colOff>
      <xdr:row>14</xdr:row>
      <xdr:rowOff>114300</xdr:rowOff>
    </xdr:to>
    <xdr:sp macro="" textlink="">
      <xdr:nvSpPr>
        <xdr:cNvPr id="2" name="AutoShape 4" descr="SAC Plasutil| Telefones 0800 | Atendimento Online - SAC 0800">
          <a:extLst>
            <a:ext uri="{FF2B5EF4-FFF2-40B4-BE49-F238E27FC236}">
              <a16:creationId xmlns:a16="http://schemas.microsoft.com/office/drawing/2014/main" id="{4F210745-ECF1-45B5-9C09-95741CEDF35D}"/>
            </a:ext>
          </a:extLst>
        </xdr:cNvPr>
        <xdr:cNvSpPr>
          <a:spLocks noChangeAspect="1" noChangeArrowheads="1"/>
        </xdr:cNvSpPr>
      </xdr:nvSpPr>
      <xdr:spPr bwMode="auto">
        <a:xfrm>
          <a:off x="19611975" y="29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304800</xdr:colOff>
      <xdr:row>7</xdr:row>
      <xdr:rowOff>114300</xdr:rowOff>
    </xdr:to>
    <xdr:sp macro="" textlink="">
      <xdr:nvSpPr>
        <xdr:cNvPr id="4" name="AutoShape 5" descr="Crie sua loja virtual e venda sem limites! | ecomece">
          <a:extLst>
            <a:ext uri="{FF2B5EF4-FFF2-40B4-BE49-F238E27FC236}">
              <a16:creationId xmlns:a16="http://schemas.microsoft.com/office/drawing/2014/main" id="{91F892CF-5F2F-4483-AA06-456DEA25AE62}"/>
            </a:ext>
          </a:extLst>
        </xdr:cNvPr>
        <xdr:cNvSpPr>
          <a:spLocks noChangeAspect="1" noChangeArrowheads="1"/>
        </xdr:cNvSpPr>
      </xdr:nvSpPr>
      <xdr:spPr bwMode="auto">
        <a:xfrm>
          <a:off x="19611975" y="16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304800</xdr:colOff>
      <xdr:row>23</xdr:row>
      <xdr:rowOff>114300</xdr:rowOff>
    </xdr:to>
    <xdr:sp macro="" textlink="">
      <xdr:nvSpPr>
        <xdr:cNvPr id="5" name="AutoShape 6" descr="Crie sua loja virtual e venda sem limites! | ecomece">
          <a:extLst>
            <a:ext uri="{FF2B5EF4-FFF2-40B4-BE49-F238E27FC236}">
              <a16:creationId xmlns:a16="http://schemas.microsoft.com/office/drawing/2014/main" id="{8A713725-E58E-4984-AC6A-89DD84091EDD}"/>
            </a:ext>
          </a:extLst>
        </xdr:cNvPr>
        <xdr:cNvSpPr>
          <a:spLocks noChangeAspect="1" noChangeArrowheads="1"/>
        </xdr:cNvSpPr>
      </xdr:nvSpPr>
      <xdr:spPr bwMode="auto">
        <a:xfrm>
          <a:off x="17802225" y="46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304800</xdr:colOff>
      <xdr:row>19</xdr:row>
      <xdr:rowOff>114300</xdr:rowOff>
    </xdr:to>
    <xdr:sp macro="" textlink="">
      <xdr:nvSpPr>
        <xdr:cNvPr id="6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D7856664-FD8F-4635-9937-C50679DFA3AB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39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19</xdr:row>
      <xdr:rowOff>0</xdr:rowOff>
    </xdr:from>
    <xdr:ext cx="304800" cy="304800"/>
    <xdr:sp macro="" textlink="">
      <xdr:nvSpPr>
        <xdr:cNvPr id="7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54BA2B30-306B-4E54-AB2D-92960F25AD3B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1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20</xdr:row>
      <xdr:rowOff>0</xdr:rowOff>
    </xdr:from>
    <xdr:ext cx="304800" cy="304800"/>
    <xdr:sp macro="" textlink="">
      <xdr:nvSpPr>
        <xdr:cNvPr id="8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33E80784-6187-45BC-8AAD-5BD5DDDD991E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3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304800"/>
    <xdr:sp macro="" textlink="">
      <xdr:nvSpPr>
        <xdr:cNvPr id="9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578B0560-EFCB-4D27-8EE0-2AAA9DCCB9F0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5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304800"/>
    <xdr:sp macro="" textlink="">
      <xdr:nvSpPr>
        <xdr:cNvPr id="10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B564022B-2E4F-4C19-A475-3824ED22DCAC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5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</xdr:row>
      <xdr:rowOff>0</xdr:rowOff>
    </xdr:from>
    <xdr:ext cx="304800" cy="304800"/>
    <xdr:sp macro="" textlink="">
      <xdr:nvSpPr>
        <xdr:cNvPr id="11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ADBE6BB5-6406-486A-85D1-64DFCB7DFCD4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6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</xdr:row>
      <xdr:rowOff>0</xdr:rowOff>
    </xdr:from>
    <xdr:ext cx="304800" cy="304800"/>
    <xdr:sp macro="" textlink="">
      <xdr:nvSpPr>
        <xdr:cNvPr id="12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8E30B163-772A-4A44-A90A-74EA01FE7901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6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04800"/>
    <xdr:sp macro="" textlink="">
      <xdr:nvSpPr>
        <xdr:cNvPr id="13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7B1F6770-14D1-40F1-9C55-FCF842D56CCB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8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</xdr:row>
      <xdr:rowOff>0</xdr:rowOff>
    </xdr:from>
    <xdr:ext cx="304800" cy="304800"/>
    <xdr:sp macro="" textlink="">
      <xdr:nvSpPr>
        <xdr:cNvPr id="14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6D9090B3-FCEB-4866-B26E-BFC151B28BB9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48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</xdr:row>
      <xdr:rowOff>0</xdr:rowOff>
    </xdr:from>
    <xdr:ext cx="304800" cy="304800"/>
    <xdr:sp macro="" textlink="">
      <xdr:nvSpPr>
        <xdr:cNvPr id="15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8D121407-3ED3-49C4-B47D-705C9F4B7A39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5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</xdr:row>
      <xdr:rowOff>0</xdr:rowOff>
    </xdr:from>
    <xdr:ext cx="304800" cy="304800"/>
    <xdr:sp macro="" textlink="">
      <xdr:nvSpPr>
        <xdr:cNvPr id="16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9493D31E-B7B3-4028-BF36-08C17831108E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5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</xdr:row>
      <xdr:rowOff>0</xdr:rowOff>
    </xdr:from>
    <xdr:ext cx="304800" cy="304800"/>
    <xdr:sp macro="" textlink="">
      <xdr:nvSpPr>
        <xdr:cNvPr id="17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A4189E56-E3B7-4BF0-B731-4F76C18AD2DC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52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</xdr:row>
      <xdr:rowOff>0</xdr:rowOff>
    </xdr:from>
    <xdr:ext cx="304800" cy="304800"/>
    <xdr:sp macro="" textlink="">
      <xdr:nvSpPr>
        <xdr:cNvPr id="18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64B964A9-871D-4618-A1C3-183ECCF9978A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52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</xdr:row>
      <xdr:rowOff>0</xdr:rowOff>
    </xdr:from>
    <xdr:ext cx="304800" cy="304800"/>
    <xdr:sp macro="" textlink="">
      <xdr:nvSpPr>
        <xdr:cNvPr id="19" name="AutoShape 8" descr="Plasútil Indústria e Comércio de Plásticos Ltda | LinkedIn">
          <a:extLst>
            <a:ext uri="{FF2B5EF4-FFF2-40B4-BE49-F238E27FC236}">
              <a16:creationId xmlns:a16="http://schemas.microsoft.com/office/drawing/2014/main" id="{5C5D3EDE-D9DC-41B4-B1F4-101C951EEBA4}"/>
            </a:ext>
          </a:extLst>
        </xdr:cNvPr>
        <xdr:cNvSpPr>
          <a:spLocks noChangeAspect="1" noChangeArrowheads="1"/>
        </xdr:cNvSpPr>
      </xdr:nvSpPr>
      <xdr:spPr bwMode="auto">
        <a:xfrm>
          <a:off x="15992475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0</xdr:rowOff>
    </xdr:from>
    <xdr:to>
      <xdr:col>4</xdr:col>
      <xdr:colOff>1277212</xdr:colOff>
      <xdr:row>1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179787-183C-4A16-9737-675A8F583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0"/>
          <a:ext cx="1162912" cy="790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B2D3F9-C887-4B4C-B99D-D2DF65DEC2A6}" name="Tabela5" displayName="Tabela5" ref="A1:H1048576" totalsRowCount="1" headerRowDxfId="51" dataDxfId="49" headerRowBorderDxfId="50">
  <autoFilter ref="A1:H1048575" xr:uid="{5BB2D3F9-C887-4B4C-B99D-D2DF65DEC2A6}"/>
  <tableColumns count="8">
    <tableColumn id="1" xr3:uid="{087A0113-3A7F-4ED4-85E5-B6DA7A785E6E}" name="Data" dataDxfId="48" totalsRowDxfId="7"/>
    <tableColumn id="2" xr3:uid="{B5ACDCB9-111C-4EEF-A7F2-0DFD4B46F701}" name="Turno" dataDxfId="47" totalsRowDxfId="6"/>
    <tableColumn id="3" xr3:uid="{8DF57E4B-CE5D-4D81-A024-AF995D46B0D6}" name="OS" dataDxfId="46" totalsRowDxfId="5"/>
    <tableColumn id="4" xr3:uid="{ED2D14F5-1612-4387-8474-BB902D6983C6}" name="Operador" dataDxfId="45" totalsRowDxfId="4"/>
    <tableColumn id="5" xr3:uid="{98386C95-9775-4F1F-A3CC-9A16E030AF66}" name="Produzidos" dataDxfId="44" totalsRowDxfId="3"/>
    <tableColumn id="6" xr3:uid="{3F049097-8486-4DDD-93F7-CCC691CC4860}" name="Perdas" dataDxfId="43" totalsRowDxfId="2"/>
    <tableColumn id="7" xr3:uid="{26B92E51-FF95-433C-9069-C56C7828476A}" name="Observação" dataDxfId="42" totalsRowDxfId="1"/>
    <tableColumn id="8" xr3:uid="{8B43B335-323F-4C61-82F4-07648230810B}" name="Coluna1" dataDxfId="41" totalsRow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85ECA-F282-4F01-A009-CC89A51CDC7A}" name="Tabela1" displayName="Tabela1" ref="N1:Q27" headerRowDxfId="40" dataDxfId="38" headerRowBorderDxfId="39">
  <autoFilter ref="N1:Q27" xr:uid="{89285ECA-F282-4F01-A009-CC89A51CDC7A}"/>
  <tableColumns count="4">
    <tableColumn id="1" xr3:uid="{EDE6611D-5889-4C5E-8516-947DDEFF7DCC}" name="CANUDOS " totalsRowLabel="Total" dataDxfId="37" totalsRowDxfId="36"/>
    <tableColumn id="2" xr3:uid="{7D1A3E97-C617-4FD2-B05B-A97B6AD5F90C}" name="CORES" dataDxfId="35" totalsRowDxfId="34"/>
    <tableColumn id="3" xr3:uid="{03E79F60-8E38-46EF-92B4-918A623037DE}" name="DESCRIÇÃO" totalsRowFunction="count" dataDxfId="33"/>
    <tableColumn id="4" xr3:uid="{1B33BBDF-2D4E-45C0-873F-D04B114DCBBF}" name="os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E77D6E-600C-406D-AA64-535CF7AD02D9}" name="Tabela4" displayName="Tabela4" ref="R2:S5" totalsRowShown="0" headerRowDxfId="31" dataDxfId="29" headerRowBorderDxfId="30">
  <autoFilter ref="R2:S5" xr:uid="{1FE77D6E-600C-406D-AA64-535CF7AD02D9}"/>
  <tableColumns count="2">
    <tableColumn id="1" xr3:uid="{065934BB-F4F9-47CC-8C25-186E2F5FD276}" name="NOME" dataDxfId="28"/>
    <tableColumn id="2" xr3:uid="{5F9476BD-3CB7-480B-BA25-725A0FDEB9A9}" name="RAMAL" dataDxfId="2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95B68F-F434-4033-BFD9-2BB1AA7C7BF7}" name="Tabela3" displayName="Tabela3" ref="A1:G1048576" totalsRowShown="0" headerRowDxfId="26" headerRowBorderDxfId="25" tableBorderDxfId="24">
  <autoFilter ref="A1:G1048576" xr:uid="{CA95B68F-F434-4033-BFD9-2BB1AA7C7BF7}"/>
  <tableColumns count="7">
    <tableColumn id="1" xr3:uid="{0280B923-DB87-4E28-A2B5-2ABF26E67A3C}" name="Data" dataDxfId="23"/>
    <tableColumn id="2" xr3:uid="{CDEDA308-953F-46E8-8272-8EB68D248564}" name="Turno" dataDxfId="22"/>
    <tableColumn id="3" xr3:uid="{A09724A8-B36D-4AD5-98B7-ADD526A91EFB}" name="OS" dataDxfId="21"/>
    <tableColumn id="4" xr3:uid="{AF64C0A2-C8AC-47A7-BF73-70D43293AAAA}" name="Operador" dataDxfId="20"/>
    <tableColumn id="5" xr3:uid="{F74EB60A-3874-4909-8B14-62AD3728B999}" name="Produzidos" dataDxfId="19"/>
    <tableColumn id="6" xr3:uid="{124854EA-F6BE-4A3F-B8F0-8D4078EF15EC}" name="Perdas" dataDxfId="18"/>
    <tableColumn id="7" xr3:uid="{FAD2623B-15B5-49D0-88AC-906319948EA0}" name="Observação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61B123-99B4-407D-925F-D62D7C54D232}" name="Tabela17" displayName="Tabela17" ref="N1:Q27" headerRowDxfId="16" dataDxfId="14" headerRowBorderDxfId="15">
  <autoFilter ref="N1:Q27" xr:uid="{7C61B123-99B4-407D-925F-D62D7C54D232}"/>
  <tableColumns count="4">
    <tableColumn id="1" xr3:uid="{E76169FA-FCD1-44CA-96FF-791C61B530A3}" name="CANUDOS " totalsRowLabel="Total" dataDxfId="13" totalsRowDxfId="12"/>
    <tableColumn id="2" xr3:uid="{35FFF8DF-05B8-44FE-B351-F847EE90084A}" name="CORES" dataDxfId="11" totalsRowDxfId="10"/>
    <tableColumn id="3" xr3:uid="{9A289D66-8372-477D-979D-D9E4A4CA121C}" name="DESCRIÇÃO" totalsRowFunction="count" dataDxfId="9"/>
    <tableColumn id="4" xr3:uid="{0D9D8711-FBB3-4387-B4D2-D3D4718A6B6D}" name="os" dataDxfId="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F26BC4-2F5B-4DD0-B255-2DBF5E945A60}" name="Tabela7" displayName="Tabela7" ref="A1:E1048576" totalsRowShown="0" dataDxfId="58" headerRowBorderDxfId="59" tableBorderDxfId="57">
  <autoFilter ref="A1:E1048576" xr:uid="{B6F26BC4-2F5B-4DD0-B255-2DBF5E945A60}"/>
  <tableColumns count="5">
    <tableColumn id="1" xr3:uid="{A457A19A-4874-4397-B513-B6F9A3B0A60A}" name="Data" dataDxfId="56"/>
    <tableColumn id="2" xr3:uid="{95C69B8D-1A39-40CB-B5FA-F58DC3500DA7}" name="Turno" dataDxfId="55"/>
    <tableColumn id="3" xr3:uid="{046BEC21-BC63-4C71-8608-9399078C3481}" name="OPERADOR" dataDxfId="54"/>
    <tableColumn id="4" xr3:uid="{C3B0A1FD-B664-4E6E-9624-C807349AADDB}" name="OBSERVAÇÃO" dataDxfId="53"/>
    <tableColumn id="5" xr3:uid="{C7967862-84A2-4EDD-9459-5C2DFCE69540}" name="Coluna1" dataDxfId="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261E-B2CC-424C-A60F-51E466D0160F}">
  <dimension ref="A1:S130"/>
  <sheetViews>
    <sheetView tabSelected="1" zoomScale="98" zoomScaleNormal="98" workbookViewId="0">
      <selection activeCell="H130" sqref="H130"/>
    </sheetView>
  </sheetViews>
  <sheetFormatPr defaultRowHeight="15" x14ac:dyDescent="0.25"/>
  <cols>
    <col min="1" max="1" width="19.7109375" style="2" customWidth="1"/>
    <col min="2" max="6" width="19.7109375" style="1" customWidth="1"/>
    <col min="7" max="7" width="25.7109375" style="1" customWidth="1"/>
    <col min="8" max="8" width="16.7109375" style="1" customWidth="1"/>
    <col min="9" max="9" width="15.28515625" style="1" customWidth="1"/>
    <col min="10" max="10" width="20.140625" style="1" customWidth="1"/>
    <col min="11" max="13" width="14.5703125" style="1" customWidth="1"/>
    <col min="14" max="16" width="27.140625" style="1" customWidth="1"/>
    <col min="17" max="17" width="21.42578125" style="1" customWidth="1"/>
    <col min="18" max="19" width="22.5703125" style="1" customWidth="1"/>
    <col min="20" max="16384" width="9.140625" style="1"/>
  </cols>
  <sheetData>
    <row r="1" spans="1:19" ht="54" customHeight="1" x14ac:dyDescent="0.25">
      <c r="A1" s="7" t="s">
        <v>1</v>
      </c>
      <c r="B1" s="8" t="s">
        <v>4</v>
      </c>
      <c r="C1" s="8" t="s">
        <v>0</v>
      </c>
      <c r="D1" s="8" t="s">
        <v>5</v>
      </c>
      <c r="E1" s="8" t="s">
        <v>2</v>
      </c>
      <c r="F1" s="8" t="s">
        <v>3</v>
      </c>
      <c r="G1" s="8" t="s">
        <v>10</v>
      </c>
      <c r="H1" s="11" t="s">
        <v>18</v>
      </c>
      <c r="I1" s="9" t="s">
        <v>11</v>
      </c>
      <c r="J1" s="9" t="s">
        <v>16</v>
      </c>
      <c r="K1" s="32" t="s">
        <v>12</v>
      </c>
      <c r="L1" s="32"/>
      <c r="M1" s="32"/>
      <c r="N1" s="15" t="s">
        <v>24</v>
      </c>
      <c r="O1" s="15" t="s">
        <v>25</v>
      </c>
      <c r="P1" s="15" t="s">
        <v>26</v>
      </c>
      <c r="Q1" s="19" t="s">
        <v>55</v>
      </c>
      <c r="R1" s="33" t="s">
        <v>56</v>
      </c>
      <c r="S1" s="34"/>
    </row>
    <row r="2" spans="1:19" ht="15.75" x14ac:dyDescent="0.25">
      <c r="A2" s="2">
        <v>45967</v>
      </c>
      <c r="B2" s="1" t="s">
        <v>7</v>
      </c>
      <c r="C2" s="1">
        <v>1367206</v>
      </c>
      <c r="D2" s="1">
        <v>8502</v>
      </c>
      <c r="E2" s="1">
        <v>15723</v>
      </c>
      <c r="F2" s="1">
        <v>38</v>
      </c>
      <c r="I2" s="13"/>
      <c r="J2" s="14">
        <f>AVERAGE(E2:E206)</f>
        <v>8268.5943396226412</v>
      </c>
      <c r="K2" s="6" t="s">
        <v>13</v>
      </c>
      <c r="L2" s="5"/>
      <c r="M2" s="16" t="s">
        <v>14</v>
      </c>
      <c r="N2" s="1" t="s">
        <v>27</v>
      </c>
      <c r="O2" s="1">
        <v>1</v>
      </c>
      <c r="P2" s="1" t="s">
        <v>28</v>
      </c>
      <c r="R2" s="26" t="s">
        <v>53</v>
      </c>
      <c r="S2" s="27" t="s">
        <v>54</v>
      </c>
    </row>
    <row r="3" spans="1:19" x14ac:dyDescent="0.25">
      <c r="A3" s="2">
        <v>45968</v>
      </c>
      <c r="B3" s="1" t="s">
        <v>6</v>
      </c>
      <c r="C3" s="1">
        <v>1367206</v>
      </c>
      <c r="D3" s="1">
        <v>8524</v>
      </c>
      <c r="E3" s="1">
        <v>15675</v>
      </c>
      <c r="F3" s="1">
        <v>79</v>
      </c>
      <c r="I3" s="12"/>
      <c r="K3" s="4">
        <f>SUM(E2:E2000)</f>
        <v>876471</v>
      </c>
      <c r="L3" s="4"/>
      <c r="M3" s="18">
        <f>SUM(F2:F2000)</f>
        <v>5157</v>
      </c>
      <c r="N3" s="1" t="s">
        <v>27</v>
      </c>
      <c r="O3" s="1">
        <v>24</v>
      </c>
      <c r="P3" s="1" t="s">
        <v>29</v>
      </c>
      <c r="Q3" s="1">
        <v>1406169</v>
      </c>
      <c r="R3" s="20" t="s">
        <v>71</v>
      </c>
      <c r="S3" s="21">
        <v>4874</v>
      </c>
    </row>
    <row r="4" spans="1:19" x14ac:dyDescent="0.25">
      <c r="A4" s="2">
        <v>45968</v>
      </c>
      <c r="B4" s="1" t="s">
        <v>6</v>
      </c>
      <c r="C4" s="1">
        <v>1376069</v>
      </c>
      <c r="D4" s="1">
        <v>8524</v>
      </c>
      <c r="E4" s="1">
        <v>4478</v>
      </c>
      <c r="F4" s="1">
        <v>46</v>
      </c>
      <c r="I4" s="4">
        <f>I2+I3</f>
        <v>0</v>
      </c>
      <c r="N4" s="1" t="s">
        <v>27</v>
      </c>
      <c r="O4" s="1">
        <v>25</v>
      </c>
      <c r="P4" s="1" t="s">
        <v>30</v>
      </c>
      <c r="R4" s="24" t="s">
        <v>70</v>
      </c>
      <c r="S4" s="25">
        <v>4991</v>
      </c>
    </row>
    <row r="5" spans="1:19" x14ac:dyDescent="0.25">
      <c r="A5" s="2">
        <v>45968</v>
      </c>
      <c r="B5" s="1" t="s">
        <v>7</v>
      </c>
      <c r="C5" s="1">
        <v>1376069</v>
      </c>
      <c r="D5" s="1">
        <v>8502</v>
      </c>
      <c r="E5" s="1">
        <v>21312</v>
      </c>
      <c r="F5" s="1">
        <v>29</v>
      </c>
      <c r="N5" s="1" t="s">
        <v>27</v>
      </c>
      <c r="O5" s="1">
        <v>30</v>
      </c>
      <c r="P5" s="1" t="s">
        <v>31</v>
      </c>
      <c r="R5" s="22" t="s">
        <v>69</v>
      </c>
      <c r="S5" s="23">
        <v>4979</v>
      </c>
    </row>
    <row r="6" spans="1:19" x14ac:dyDescent="0.25">
      <c r="A6" s="2">
        <v>45969</v>
      </c>
      <c r="B6" s="1" t="s">
        <v>6</v>
      </c>
      <c r="C6" s="1">
        <v>1376069</v>
      </c>
      <c r="D6" s="1">
        <v>8524</v>
      </c>
      <c r="E6" s="1">
        <v>8637</v>
      </c>
      <c r="F6" s="1">
        <v>47</v>
      </c>
      <c r="N6" s="1" t="s">
        <v>27</v>
      </c>
      <c r="O6" s="1">
        <v>173</v>
      </c>
      <c r="P6" s="1" t="s">
        <v>32</v>
      </c>
      <c r="Q6" s="1">
        <v>1353670</v>
      </c>
    </row>
    <row r="7" spans="1:19" x14ac:dyDescent="0.25">
      <c r="A7" s="2">
        <v>45969</v>
      </c>
      <c r="B7" s="1" t="s">
        <v>7</v>
      </c>
      <c r="C7" s="1">
        <v>1376069</v>
      </c>
      <c r="D7" s="1">
        <v>8502</v>
      </c>
      <c r="E7" s="1">
        <v>12216</v>
      </c>
      <c r="F7" s="1">
        <v>41</v>
      </c>
      <c r="N7" s="1" t="s">
        <v>27</v>
      </c>
      <c r="O7" s="1">
        <v>187</v>
      </c>
      <c r="P7" s="17" t="s">
        <v>9</v>
      </c>
    </row>
    <row r="8" spans="1:19" x14ac:dyDescent="0.25">
      <c r="A8" s="2">
        <v>45971</v>
      </c>
      <c r="B8" s="1" t="s">
        <v>6</v>
      </c>
      <c r="C8" s="1">
        <v>1376069</v>
      </c>
      <c r="D8" s="1">
        <v>8524</v>
      </c>
      <c r="E8" s="1">
        <v>12288</v>
      </c>
      <c r="F8" s="1">
        <v>52</v>
      </c>
      <c r="N8" s="1" t="s">
        <v>27</v>
      </c>
      <c r="O8" s="1">
        <v>188</v>
      </c>
      <c r="P8" s="1" t="s">
        <v>33</v>
      </c>
    </row>
    <row r="9" spans="1:19" x14ac:dyDescent="0.25">
      <c r="A9" s="2">
        <v>45971</v>
      </c>
      <c r="B9" s="1" t="s">
        <v>7</v>
      </c>
      <c r="C9" s="1">
        <v>1376069</v>
      </c>
      <c r="D9" s="1">
        <v>8502</v>
      </c>
      <c r="E9" s="1">
        <v>15578</v>
      </c>
      <c r="F9" s="1">
        <v>16</v>
      </c>
      <c r="K9" s="10"/>
      <c r="N9" s="1" t="s">
        <v>27</v>
      </c>
      <c r="O9" s="1">
        <v>190</v>
      </c>
      <c r="P9" s="1" t="s">
        <v>34</v>
      </c>
    </row>
    <row r="10" spans="1:19" x14ac:dyDescent="0.25">
      <c r="A10" s="2">
        <v>45972</v>
      </c>
      <c r="B10" s="1" t="s">
        <v>6</v>
      </c>
      <c r="C10" s="1">
        <v>1376069</v>
      </c>
      <c r="D10" s="1">
        <v>8524</v>
      </c>
      <c r="E10" s="1">
        <v>5176</v>
      </c>
      <c r="F10" s="1">
        <v>145</v>
      </c>
      <c r="J10"/>
      <c r="N10" s="1" t="s">
        <v>27</v>
      </c>
      <c r="O10" s="1">
        <v>411</v>
      </c>
      <c r="P10" s="1" t="s">
        <v>35</v>
      </c>
    </row>
    <row r="11" spans="1:19" x14ac:dyDescent="0.25">
      <c r="A11" s="2">
        <v>45972</v>
      </c>
      <c r="B11" s="1" t="s">
        <v>7</v>
      </c>
      <c r="C11" s="1">
        <v>1376069</v>
      </c>
      <c r="D11" s="1">
        <v>8502</v>
      </c>
      <c r="E11" s="1">
        <v>15003</v>
      </c>
      <c r="F11" s="1">
        <v>15</v>
      </c>
      <c r="N11" s="1" t="s">
        <v>27</v>
      </c>
      <c r="O11" s="1">
        <v>474</v>
      </c>
      <c r="P11" s="1" t="s">
        <v>36</v>
      </c>
    </row>
    <row r="12" spans="1:19" x14ac:dyDescent="0.25">
      <c r="A12" s="2">
        <v>45973</v>
      </c>
      <c r="B12" s="1" t="s">
        <v>6</v>
      </c>
      <c r="C12" s="1">
        <v>1376069</v>
      </c>
      <c r="D12" s="1">
        <v>8524</v>
      </c>
      <c r="E12" s="1">
        <v>11623</v>
      </c>
      <c r="F12" s="1">
        <v>17</v>
      </c>
      <c r="N12" s="1" t="s">
        <v>27</v>
      </c>
      <c r="O12" s="1">
        <v>475</v>
      </c>
      <c r="P12" s="1" t="s">
        <v>37</v>
      </c>
    </row>
    <row r="13" spans="1:19" x14ac:dyDescent="0.25">
      <c r="A13" s="2">
        <v>45973</v>
      </c>
      <c r="B13" s="1" t="s">
        <v>6</v>
      </c>
      <c r="C13" s="1">
        <v>1376072</v>
      </c>
      <c r="D13" s="1">
        <v>8524</v>
      </c>
      <c r="E13" s="1">
        <v>7103</v>
      </c>
      <c r="F13" s="1">
        <v>22</v>
      </c>
      <c r="N13" s="1" t="s">
        <v>27</v>
      </c>
      <c r="O13" s="1">
        <v>476</v>
      </c>
      <c r="P13" s="1" t="s">
        <v>38</v>
      </c>
    </row>
    <row r="14" spans="1:19" x14ac:dyDescent="0.25">
      <c r="A14" s="2">
        <v>45973</v>
      </c>
      <c r="B14" s="1" t="s">
        <v>7</v>
      </c>
      <c r="C14" s="1">
        <v>1376072</v>
      </c>
      <c r="D14" s="1">
        <v>8502</v>
      </c>
      <c r="E14" s="1">
        <v>10777</v>
      </c>
      <c r="F14" s="1">
        <v>17</v>
      </c>
      <c r="N14" s="1" t="s">
        <v>27</v>
      </c>
      <c r="O14" s="1">
        <v>477</v>
      </c>
      <c r="P14" s="17" t="s">
        <v>39</v>
      </c>
      <c r="Q14" s="1">
        <v>1389060</v>
      </c>
    </row>
    <row r="15" spans="1:19" x14ac:dyDescent="0.25">
      <c r="A15" s="2">
        <v>45974</v>
      </c>
      <c r="B15" s="1" t="s">
        <v>6</v>
      </c>
      <c r="C15" s="1">
        <v>1376072</v>
      </c>
      <c r="D15" s="1">
        <v>8524</v>
      </c>
      <c r="E15" s="1">
        <v>2772</v>
      </c>
      <c r="F15" s="1">
        <v>15</v>
      </c>
      <c r="N15" s="1" t="s">
        <v>27</v>
      </c>
      <c r="O15" s="1">
        <v>596</v>
      </c>
      <c r="P15" s="1" t="s">
        <v>40</v>
      </c>
    </row>
    <row r="16" spans="1:19" x14ac:dyDescent="0.25">
      <c r="A16" s="2">
        <v>45974</v>
      </c>
      <c r="B16" s="1" t="s">
        <v>7</v>
      </c>
      <c r="C16" s="1">
        <v>1376072</v>
      </c>
      <c r="D16" s="1">
        <v>8502</v>
      </c>
      <c r="E16" s="1">
        <v>10296</v>
      </c>
      <c r="F16" s="1">
        <v>19</v>
      </c>
      <c r="L16"/>
      <c r="N16" s="1" t="s">
        <v>27</v>
      </c>
      <c r="O16" s="1">
        <v>639</v>
      </c>
      <c r="P16" s="1" t="s">
        <v>41</v>
      </c>
    </row>
    <row r="17" spans="1:18" x14ac:dyDescent="0.25">
      <c r="A17" s="2">
        <v>45975</v>
      </c>
      <c r="B17" s="1" t="s">
        <v>6</v>
      </c>
      <c r="C17" s="1">
        <v>1376072</v>
      </c>
      <c r="D17" s="1">
        <v>8524</v>
      </c>
      <c r="E17" s="1">
        <v>5649</v>
      </c>
      <c r="F17" s="1">
        <v>71</v>
      </c>
      <c r="N17" s="1" t="s">
        <v>27</v>
      </c>
      <c r="O17" s="1">
        <v>647</v>
      </c>
      <c r="P17" s="1" t="s">
        <v>42</v>
      </c>
    </row>
    <row r="18" spans="1:18" x14ac:dyDescent="0.25">
      <c r="A18" s="2">
        <v>45975</v>
      </c>
      <c r="B18" s="1" t="s">
        <v>7</v>
      </c>
      <c r="C18" s="1">
        <v>1376072</v>
      </c>
      <c r="D18" s="1">
        <v>8502</v>
      </c>
      <c r="E18" s="1">
        <v>4645</v>
      </c>
      <c r="F18" s="1">
        <v>39</v>
      </c>
      <c r="N18" s="1" t="s">
        <v>27</v>
      </c>
      <c r="O18" s="1">
        <v>648</v>
      </c>
      <c r="P18" s="1" t="s">
        <v>43</v>
      </c>
    </row>
    <row r="19" spans="1:18" x14ac:dyDescent="0.25">
      <c r="A19" s="2">
        <v>45978</v>
      </c>
      <c r="B19" s="1" t="s">
        <v>6</v>
      </c>
      <c r="C19" s="1">
        <v>1376072</v>
      </c>
      <c r="D19" s="1">
        <v>8524</v>
      </c>
      <c r="E19" s="1">
        <v>7585</v>
      </c>
      <c r="F19" s="1">
        <v>46</v>
      </c>
      <c r="M19"/>
      <c r="N19" s="1" t="s">
        <v>27</v>
      </c>
      <c r="O19" s="1">
        <v>649</v>
      </c>
      <c r="P19" s="1" t="s">
        <v>44</v>
      </c>
    </row>
    <row r="20" spans="1:18" x14ac:dyDescent="0.25">
      <c r="A20" s="2">
        <v>45978</v>
      </c>
      <c r="B20" s="1" t="s">
        <v>7</v>
      </c>
      <c r="C20" s="1">
        <v>1376072</v>
      </c>
      <c r="D20" s="1">
        <v>8502</v>
      </c>
      <c r="E20" s="1">
        <v>11837</v>
      </c>
      <c r="F20" s="1">
        <v>85</v>
      </c>
      <c r="N20" s="1" t="s">
        <v>27</v>
      </c>
      <c r="O20" s="1">
        <v>767</v>
      </c>
      <c r="P20" s="1" t="s">
        <v>45</v>
      </c>
    </row>
    <row r="21" spans="1:18" x14ac:dyDescent="0.25">
      <c r="A21" s="2">
        <v>45979</v>
      </c>
      <c r="B21" s="3" t="s">
        <v>6</v>
      </c>
      <c r="C21" s="1">
        <v>1376072</v>
      </c>
      <c r="D21" s="1">
        <v>8524</v>
      </c>
      <c r="E21" s="1">
        <v>10114</v>
      </c>
      <c r="F21" s="1">
        <v>163</v>
      </c>
      <c r="N21" s="1" t="s">
        <v>27</v>
      </c>
      <c r="O21" s="1">
        <v>888</v>
      </c>
      <c r="P21" s="1" t="s">
        <v>46</v>
      </c>
    </row>
    <row r="22" spans="1:18" x14ac:dyDescent="0.25">
      <c r="A22" s="2">
        <v>45979</v>
      </c>
      <c r="B22" s="1" t="s">
        <v>7</v>
      </c>
      <c r="C22" s="1">
        <v>1376072</v>
      </c>
      <c r="D22" s="1">
        <v>8502</v>
      </c>
      <c r="E22" s="1">
        <v>3852</v>
      </c>
      <c r="F22" s="1">
        <v>15</v>
      </c>
      <c r="N22" s="1" t="s">
        <v>27</v>
      </c>
      <c r="O22" s="1">
        <v>1149</v>
      </c>
      <c r="P22" s="1" t="s">
        <v>47</v>
      </c>
      <c r="Q22" s="1">
        <v>1404598</v>
      </c>
      <c r="R22"/>
    </row>
    <row r="23" spans="1:18" x14ac:dyDescent="0.25">
      <c r="A23" s="2">
        <v>45979</v>
      </c>
      <c r="B23" s="1" t="s">
        <v>7</v>
      </c>
      <c r="D23" s="1">
        <v>8502</v>
      </c>
      <c r="E23" s="1">
        <v>5341</v>
      </c>
      <c r="F23" s="1">
        <v>50</v>
      </c>
      <c r="N23" s="1" t="s">
        <v>27</v>
      </c>
      <c r="O23" s="1">
        <v>1157</v>
      </c>
      <c r="P23" s="1" t="s">
        <v>48</v>
      </c>
    </row>
    <row r="24" spans="1:18" x14ac:dyDescent="0.25">
      <c r="A24" s="2">
        <v>45980</v>
      </c>
      <c r="B24" s="1" t="s">
        <v>7</v>
      </c>
      <c r="C24" s="1">
        <v>1376062</v>
      </c>
      <c r="D24" s="1">
        <v>8502</v>
      </c>
      <c r="E24" s="1">
        <v>7202</v>
      </c>
      <c r="F24" s="1">
        <v>11</v>
      </c>
      <c r="N24" s="1" t="s">
        <v>27</v>
      </c>
      <c r="O24" s="1">
        <v>1174</v>
      </c>
      <c r="P24" s="1" t="s">
        <v>49</v>
      </c>
      <c r="Q24" s="1">
        <v>308564</v>
      </c>
    </row>
    <row r="25" spans="1:18" x14ac:dyDescent="0.25">
      <c r="A25" s="2">
        <v>45980</v>
      </c>
      <c r="B25" s="1" t="s">
        <v>7</v>
      </c>
      <c r="C25" s="1">
        <v>1376066</v>
      </c>
      <c r="D25" s="1">
        <v>8502</v>
      </c>
      <c r="E25" s="1">
        <v>5053</v>
      </c>
      <c r="F25" s="1">
        <v>0</v>
      </c>
      <c r="N25" s="1" t="s">
        <v>27</v>
      </c>
      <c r="O25" s="1">
        <v>1202</v>
      </c>
      <c r="P25" s="1" t="s">
        <v>50</v>
      </c>
    </row>
    <row r="26" spans="1:18" x14ac:dyDescent="0.25">
      <c r="A26" s="2">
        <v>45981</v>
      </c>
      <c r="B26" s="1" t="s">
        <v>7</v>
      </c>
      <c r="C26" s="1">
        <v>1376066</v>
      </c>
      <c r="D26" s="1">
        <v>8502</v>
      </c>
      <c r="E26" s="1">
        <v>12217</v>
      </c>
      <c r="F26" s="1">
        <v>61</v>
      </c>
      <c r="N26" s="1" t="s">
        <v>27</v>
      </c>
      <c r="O26" s="1">
        <v>1345</v>
      </c>
      <c r="P26" s="1" t="s">
        <v>51</v>
      </c>
    </row>
    <row r="27" spans="1:18" x14ac:dyDescent="0.25">
      <c r="A27" s="2">
        <v>45982</v>
      </c>
      <c r="B27" s="1" t="s">
        <v>7</v>
      </c>
      <c r="C27" s="1">
        <v>1376066</v>
      </c>
      <c r="D27" s="1">
        <v>8502</v>
      </c>
      <c r="E27" s="1">
        <v>11076</v>
      </c>
      <c r="F27" s="1">
        <v>15</v>
      </c>
      <c r="N27" s="1" t="s">
        <v>27</v>
      </c>
      <c r="O27" s="1">
        <v>1498</v>
      </c>
      <c r="P27" s="1" t="s">
        <v>52</v>
      </c>
    </row>
    <row r="28" spans="1:18" x14ac:dyDescent="0.25">
      <c r="A28" s="2">
        <v>45982</v>
      </c>
      <c r="B28" s="1" t="s">
        <v>7</v>
      </c>
      <c r="C28" s="1">
        <v>1376070</v>
      </c>
      <c r="D28" s="1">
        <v>8502</v>
      </c>
      <c r="E28" s="1">
        <v>12085</v>
      </c>
      <c r="F28" s="1">
        <v>36</v>
      </c>
    </row>
    <row r="29" spans="1:18" x14ac:dyDescent="0.25">
      <c r="A29" s="2">
        <v>45983</v>
      </c>
      <c r="B29" s="1" t="s">
        <v>7</v>
      </c>
      <c r="C29" s="1">
        <v>1376070</v>
      </c>
      <c r="D29" s="1">
        <v>8502</v>
      </c>
      <c r="E29" s="1">
        <v>18362</v>
      </c>
      <c r="F29" s="1">
        <v>27</v>
      </c>
    </row>
    <row r="30" spans="1:18" x14ac:dyDescent="0.25">
      <c r="A30" s="2">
        <v>45985</v>
      </c>
      <c r="B30" s="1" t="s">
        <v>6</v>
      </c>
      <c r="C30" s="1">
        <v>1376070</v>
      </c>
      <c r="D30" s="1">
        <v>8524</v>
      </c>
      <c r="E30" s="1">
        <v>3938</v>
      </c>
      <c r="F30" s="1">
        <v>62</v>
      </c>
    </row>
    <row r="31" spans="1:18" x14ac:dyDescent="0.25">
      <c r="A31" s="2">
        <v>45985</v>
      </c>
      <c r="B31" s="1" t="s">
        <v>6</v>
      </c>
      <c r="C31" s="1">
        <v>1381910</v>
      </c>
      <c r="D31" s="1">
        <v>8524</v>
      </c>
      <c r="E31" s="1">
        <v>6730</v>
      </c>
      <c r="F31" s="1">
        <v>85</v>
      </c>
    </row>
    <row r="32" spans="1:18" x14ac:dyDescent="0.25">
      <c r="A32" s="2">
        <v>45985</v>
      </c>
      <c r="B32" s="1" t="s">
        <v>7</v>
      </c>
      <c r="D32" s="1">
        <v>8502</v>
      </c>
      <c r="E32" s="1">
        <v>9325</v>
      </c>
      <c r="F32" s="1">
        <v>60</v>
      </c>
      <c r="G32" s="1" t="s">
        <v>8</v>
      </c>
    </row>
    <row r="33" spans="1:7" x14ac:dyDescent="0.25">
      <c r="A33" s="2">
        <v>45986</v>
      </c>
      <c r="B33" s="1" t="s">
        <v>6</v>
      </c>
      <c r="D33" s="1">
        <v>8524</v>
      </c>
      <c r="E33" s="1">
        <v>3768</v>
      </c>
      <c r="F33" s="1">
        <v>71</v>
      </c>
      <c r="G33" s="1" t="s">
        <v>9</v>
      </c>
    </row>
    <row r="34" spans="1:7" x14ac:dyDescent="0.25">
      <c r="A34" s="2">
        <v>45986</v>
      </c>
      <c r="B34" s="1" t="s">
        <v>7</v>
      </c>
      <c r="D34" s="1">
        <v>8502</v>
      </c>
      <c r="E34" s="1">
        <v>3504</v>
      </c>
      <c r="F34" s="1">
        <v>15</v>
      </c>
      <c r="G34" s="1" t="s">
        <v>8</v>
      </c>
    </row>
    <row r="35" spans="1:7" x14ac:dyDescent="0.25">
      <c r="A35" s="2">
        <v>45986</v>
      </c>
      <c r="B35" s="1" t="s">
        <v>7</v>
      </c>
      <c r="C35" s="1">
        <v>1381908</v>
      </c>
      <c r="D35" s="1">
        <v>8502</v>
      </c>
      <c r="E35" s="1">
        <v>10513</v>
      </c>
      <c r="F35" s="1">
        <v>14</v>
      </c>
    </row>
    <row r="36" spans="1:7" x14ac:dyDescent="0.25">
      <c r="A36" s="2">
        <v>45987</v>
      </c>
      <c r="B36" s="1" t="s">
        <v>6</v>
      </c>
      <c r="C36" s="1">
        <v>1376065</v>
      </c>
      <c r="D36" s="1">
        <v>8524</v>
      </c>
      <c r="E36" s="1">
        <v>4084</v>
      </c>
      <c r="F36" s="1">
        <v>21</v>
      </c>
    </row>
    <row r="37" spans="1:7" x14ac:dyDescent="0.25">
      <c r="A37" s="2">
        <v>45987</v>
      </c>
      <c r="B37" s="1" t="s">
        <v>6</v>
      </c>
      <c r="C37" s="1">
        <v>1387443</v>
      </c>
      <c r="D37" s="1">
        <v>8524</v>
      </c>
      <c r="E37" s="1">
        <v>9906</v>
      </c>
      <c r="F37" s="1">
        <v>36</v>
      </c>
    </row>
    <row r="38" spans="1:7" x14ac:dyDescent="0.25">
      <c r="A38" s="2">
        <v>45987</v>
      </c>
      <c r="B38" s="1" t="s">
        <v>7</v>
      </c>
      <c r="C38" s="1">
        <v>1387443</v>
      </c>
      <c r="D38" s="1">
        <v>8502</v>
      </c>
      <c r="E38" s="1">
        <v>10865</v>
      </c>
      <c r="F38" s="1">
        <v>33</v>
      </c>
    </row>
    <row r="39" spans="1:7" x14ac:dyDescent="0.25">
      <c r="A39" s="2">
        <v>45987</v>
      </c>
      <c r="B39" s="1" t="s">
        <v>7</v>
      </c>
      <c r="C39" s="1">
        <v>1376065</v>
      </c>
      <c r="D39" s="1">
        <v>8502</v>
      </c>
      <c r="E39" s="1">
        <v>6445</v>
      </c>
      <c r="F39" s="1">
        <v>65</v>
      </c>
    </row>
    <row r="40" spans="1:7" x14ac:dyDescent="0.25">
      <c r="A40" s="2">
        <v>45988</v>
      </c>
      <c r="B40" s="1" t="s">
        <v>6</v>
      </c>
      <c r="C40" s="1">
        <v>1376065</v>
      </c>
      <c r="D40" s="1">
        <v>8524</v>
      </c>
      <c r="E40" s="1">
        <v>10335</v>
      </c>
      <c r="F40" s="1">
        <v>137</v>
      </c>
    </row>
    <row r="41" spans="1:7" x14ac:dyDescent="0.25">
      <c r="A41" s="2">
        <v>45988</v>
      </c>
      <c r="B41" s="1" t="s">
        <v>7</v>
      </c>
      <c r="C41" s="1">
        <v>1376065</v>
      </c>
      <c r="D41" s="1">
        <v>8502</v>
      </c>
      <c r="E41" s="1">
        <v>11571</v>
      </c>
      <c r="F41" s="1">
        <v>153</v>
      </c>
    </row>
    <row r="42" spans="1:7" x14ac:dyDescent="0.25">
      <c r="A42" s="2">
        <v>45989</v>
      </c>
      <c r="B42" s="1" t="s">
        <v>6</v>
      </c>
      <c r="C42" s="1">
        <v>1379057</v>
      </c>
      <c r="D42" s="1">
        <v>8524</v>
      </c>
      <c r="E42" s="1">
        <v>5112</v>
      </c>
      <c r="F42" s="1">
        <v>44</v>
      </c>
    </row>
    <row r="43" spans="1:7" x14ac:dyDescent="0.25">
      <c r="A43" s="2">
        <v>45989</v>
      </c>
      <c r="B43" s="1" t="s">
        <v>7</v>
      </c>
      <c r="C43" s="1">
        <v>1379057</v>
      </c>
      <c r="D43" s="1">
        <v>8502</v>
      </c>
      <c r="E43" s="1">
        <v>11896</v>
      </c>
      <c r="F43" s="1">
        <v>157</v>
      </c>
    </row>
    <row r="44" spans="1:7" x14ac:dyDescent="0.25">
      <c r="A44" s="2">
        <v>45990</v>
      </c>
      <c r="B44" s="1" t="s">
        <v>6</v>
      </c>
      <c r="C44" s="1">
        <v>1379057</v>
      </c>
      <c r="D44" s="1">
        <v>8524</v>
      </c>
      <c r="E44" s="1">
        <v>5751</v>
      </c>
      <c r="F44" s="1">
        <v>33</v>
      </c>
    </row>
    <row r="45" spans="1:7" x14ac:dyDescent="0.25">
      <c r="A45" s="2">
        <v>45990</v>
      </c>
      <c r="B45" s="1" t="s">
        <v>7</v>
      </c>
      <c r="C45" s="1">
        <v>1376068</v>
      </c>
      <c r="D45" s="1">
        <v>8502</v>
      </c>
      <c r="E45" s="1">
        <v>14345</v>
      </c>
      <c r="F45" s="1">
        <v>137</v>
      </c>
    </row>
    <row r="46" spans="1:7" x14ac:dyDescent="0.25">
      <c r="A46" s="2">
        <v>45992</v>
      </c>
      <c r="B46" s="1" t="s">
        <v>7</v>
      </c>
      <c r="C46" s="1">
        <v>1376068</v>
      </c>
      <c r="D46" s="1">
        <v>8502</v>
      </c>
      <c r="E46" s="1">
        <v>4132</v>
      </c>
      <c r="F46" s="1">
        <v>25</v>
      </c>
    </row>
    <row r="47" spans="1:7" x14ac:dyDescent="0.25">
      <c r="A47" s="2">
        <v>45993</v>
      </c>
      <c r="B47" s="1" t="s">
        <v>6</v>
      </c>
      <c r="C47" s="1">
        <v>1376068</v>
      </c>
      <c r="D47" s="1">
        <v>8524</v>
      </c>
      <c r="E47" s="1">
        <v>4239</v>
      </c>
      <c r="F47" s="1">
        <v>270</v>
      </c>
    </row>
    <row r="48" spans="1:7" x14ac:dyDescent="0.25">
      <c r="A48" s="2">
        <v>45993</v>
      </c>
      <c r="B48" s="1" t="s">
        <v>7</v>
      </c>
      <c r="C48" s="1">
        <v>1376068</v>
      </c>
      <c r="D48" s="1">
        <v>8502</v>
      </c>
      <c r="E48" s="1">
        <v>9856</v>
      </c>
      <c r="F48" s="1">
        <v>190</v>
      </c>
    </row>
    <row r="49" spans="1:8" x14ac:dyDescent="0.25">
      <c r="A49" s="2">
        <v>46009</v>
      </c>
      <c r="B49" s="1" t="s">
        <v>7</v>
      </c>
      <c r="C49" s="1">
        <v>1378879</v>
      </c>
      <c r="D49" s="1">
        <v>8502</v>
      </c>
      <c r="E49" s="1">
        <v>10312</v>
      </c>
      <c r="F49" s="1">
        <v>120</v>
      </c>
    </row>
    <row r="50" spans="1:8" x14ac:dyDescent="0.25">
      <c r="A50" s="2">
        <v>46010</v>
      </c>
      <c r="B50" s="1" t="s">
        <v>6</v>
      </c>
      <c r="C50" s="1">
        <v>1378879</v>
      </c>
      <c r="D50" s="1">
        <v>8524</v>
      </c>
      <c r="E50" s="1">
        <v>18140</v>
      </c>
      <c r="F50" s="1">
        <v>244</v>
      </c>
    </row>
    <row r="51" spans="1:8" x14ac:dyDescent="0.25">
      <c r="A51" s="2" t="s">
        <v>15</v>
      </c>
      <c r="B51" s="1" t="s">
        <v>7</v>
      </c>
      <c r="C51" s="1">
        <v>1378879</v>
      </c>
      <c r="D51" s="1">
        <v>8502</v>
      </c>
      <c r="E51" s="1">
        <v>4116</v>
      </c>
      <c r="F51" s="1">
        <v>63</v>
      </c>
    </row>
    <row r="52" spans="1:8" x14ac:dyDescent="0.25">
      <c r="A52" s="2">
        <v>46011</v>
      </c>
      <c r="B52" s="1" t="s">
        <v>6</v>
      </c>
      <c r="C52" s="1">
        <v>1378879</v>
      </c>
      <c r="D52" s="1">
        <v>8524</v>
      </c>
      <c r="E52" s="1">
        <v>14103</v>
      </c>
      <c r="F52" s="1">
        <v>53</v>
      </c>
    </row>
    <row r="53" spans="1:8" x14ac:dyDescent="0.25">
      <c r="A53" s="2">
        <v>46011</v>
      </c>
      <c r="B53" s="1" t="s">
        <v>7</v>
      </c>
      <c r="C53" s="1">
        <v>1378879</v>
      </c>
      <c r="D53" s="1">
        <v>8502</v>
      </c>
      <c r="E53" s="1">
        <v>11966</v>
      </c>
      <c r="F53" s="1">
        <v>41</v>
      </c>
    </row>
    <row r="54" spans="1:8" x14ac:dyDescent="0.25">
      <c r="A54" s="2">
        <v>46013</v>
      </c>
      <c r="B54" s="1" t="s">
        <v>6</v>
      </c>
      <c r="C54" s="1">
        <v>1378879</v>
      </c>
      <c r="D54" s="1">
        <v>8524</v>
      </c>
      <c r="E54" s="1">
        <v>8130</v>
      </c>
      <c r="F54" s="1">
        <v>48</v>
      </c>
      <c r="G54" s="1" t="s">
        <v>19</v>
      </c>
      <c r="H54" s="1" t="s">
        <v>17</v>
      </c>
    </row>
    <row r="55" spans="1:8" x14ac:dyDescent="0.25">
      <c r="A55" s="2">
        <v>46013</v>
      </c>
      <c r="B55" s="1" t="s">
        <v>7</v>
      </c>
      <c r="C55" s="1">
        <v>1378879</v>
      </c>
      <c r="D55" s="1">
        <v>8502</v>
      </c>
      <c r="E55" s="1">
        <v>2750</v>
      </c>
      <c r="F55" s="1">
        <v>12</v>
      </c>
    </row>
    <row r="56" spans="1:8" x14ac:dyDescent="0.25">
      <c r="A56" s="2">
        <v>46014</v>
      </c>
      <c r="B56" s="1" t="s">
        <v>7</v>
      </c>
      <c r="C56" s="1">
        <v>1378879</v>
      </c>
      <c r="D56" s="1">
        <v>8502</v>
      </c>
      <c r="E56" s="1">
        <v>3502</v>
      </c>
      <c r="F56" s="1">
        <v>21</v>
      </c>
    </row>
    <row r="57" spans="1:8" x14ac:dyDescent="0.25">
      <c r="A57" s="2">
        <v>46015</v>
      </c>
      <c r="B57" s="1" t="s">
        <v>6</v>
      </c>
      <c r="C57" s="1">
        <v>1378879</v>
      </c>
      <c r="D57" s="1">
        <v>8524</v>
      </c>
      <c r="E57" s="1">
        <v>8251</v>
      </c>
      <c r="F57" s="1">
        <v>72</v>
      </c>
    </row>
    <row r="58" spans="1:8" x14ac:dyDescent="0.25">
      <c r="A58" s="2">
        <v>46020</v>
      </c>
      <c r="B58" s="1" t="s">
        <v>6</v>
      </c>
      <c r="C58" s="1">
        <v>1378879</v>
      </c>
      <c r="D58" s="1">
        <v>8524</v>
      </c>
      <c r="E58" s="1">
        <v>3424</v>
      </c>
      <c r="F58" s="1">
        <v>153</v>
      </c>
      <c r="G58" s="1" t="s">
        <v>20</v>
      </c>
      <c r="H58" s="1" t="s">
        <v>17</v>
      </c>
    </row>
    <row r="59" spans="1:8" x14ac:dyDescent="0.25">
      <c r="A59" s="2">
        <v>46020</v>
      </c>
      <c r="B59" s="1" t="s">
        <v>7</v>
      </c>
      <c r="C59" s="1">
        <v>1378879</v>
      </c>
      <c r="D59" s="1">
        <v>8502</v>
      </c>
      <c r="E59" s="1">
        <v>6866</v>
      </c>
      <c r="F59" s="1">
        <v>32</v>
      </c>
    </row>
    <row r="60" spans="1:8" x14ac:dyDescent="0.25">
      <c r="A60" s="2">
        <v>46021</v>
      </c>
      <c r="B60" s="1" t="s">
        <v>6</v>
      </c>
      <c r="C60" s="1">
        <v>1378879</v>
      </c>
      <c r="D60" s="1">
        <v>8524</v>
      </c>
      <c r="E60" s="1">
        <v>13134</v>
      </c>
      <c r="F60" s="1">
        <v>137</v>
      </c>
    </row>
    <row r="61" spans="1:8" x14ac:dyDescent="0.25">
      <c r="A61" s="2">
        <v>46021</v>
      </c>
      <c r="B61" s="1" t="s">
        <v>7</v>
      </c>
      <c r="D61" s="1">
        <v>8502</v>
      </c>
      <c r="E61" s="1">
        <v>8869</v>
      </c>
      <c r="F61" s="1">
        <v>22</v>
      </c>
      <c r="G61" s="1" t="s">
        <v>21</v>
      </c>
    </row>
    <row r="62" spans="1:8" x14ac:dyDescent="0.25">
      <c r="A62" s="2">
        <v>46022</v>
      </c>
      <c r="B62" s="1" t="s">
        <v>6</v>
      </c>
      <c r="D62" s="1">
        <v>8524</v>
      </c>
      <c r="E62" s="1">
        <v>7670</v>
      </c>
      <c r="F62" s="1">
        <v>82</v>
      </c>
      <c r="G62" s="1" t="s">
        <v>22</v>
      </c>
      <c r="H62" s="1" t="s">
        <v>17</v>
      </c>
    </row>
    <row r="63" spans="1:8" x14ac:dyDescent="0.25">
      <c r="A63" s="2">
        <v>46024</v>
      </c>
      <c r="B63" s="1" t="s">
        <v>7</v>
      </c>
      <c r="C63" s="1">
        <v>1381912</v>
      </c>
      <c r="D63" s="1">
        <v>8502</v>
      </c>
      <c r="E63" s="1">
        <v>11917</v>
      </c>
      <c r="F63" s="1">
        <v>12</v>
      </c>
    </row>
    <row r="64" spans="1:8" x14ac:dyDescent="0.25">
      <c r="A64" s="2">
        <v>46025</v>
      </c>
      <c r="B64" s="1" t="s">
        <v>6</v>
      </c>
      <c r="C64" s="1">
        <v>1381912</v>
      </c>
      <c r="D64" s="1">
        <v>8524</v>
      </c>
      <c r="E64" s="1">
        <v>6304</v>
      </c>
      <c r="F64" s="1">
        <v>32</v>
      </c>
    </row>
    <row r="65" spans="1:9" x14ac:dyDescent="0.25">
      <c r="A65" s="2">
        <v>46025</v>
      </c>
      <c r="B65" s="1" t="s">
        <v>7</v>
      </c>
      <c r="C65" s="1">
        <v>1381912</v>
      </c>
      <c r="D65" s="1">
        <v>8502</v>
      </c>
      <c r="E65" s="1">
        <v>8378</v>
      </c>
      <c r="F65" s="1">
        <v>46</v>
      </c>
    </row>
    <row r="66" spans="1:9" x14ac:dyDescent="0.25">
      <c r="A66" s="2">
        <v>46027</v>
      </c>
      <c r="B66" s="1" t="s">
        <v>6</v>
      </c>
      <c r="C66" s="1">
        <v>1381912</v>
      </c>
      <c r="D66" s="1">
        <v>8524</v>
      </c>
      <c r="E66" s="1">
        <v>6011</v>
      </c>
      <c r="F66" s="1">
        <v>77</v>
      </c>
    </row>
    <row r="67" spans="1:9" x14ac:dyDescent="0.25">
      <c r="A67" s="2">
        <v>46027</v>
      </c>
      <c r="B67" s="1" t="s">
        <v>7</v>
      </c>
      <c r="C67" s="1">
        <v>1381912</v>
      </c>
      <c r="D67" s="1">
        <v>8502</v>
      </c>
      <c r="E67" s="1">
        <v>10154</v>
      </c>
      <c r="F67" s="1">
        <v>59</v>
      </c>
    </row>
    <row r="68" spans="1:9" x14ac:dyDescent="0.25">
      <c r="A68" s="2">
        <v>46028</v>
      </c>
      <c r="B68" s="1" t="s">
        <v>6</v>
      </c>
      <c r="C68" s="1">
        <v>1381912</v>
      </c>
      <c r="D68" s="1">
        <v>8524</v>
      </c>
      <c r="E68" s="1">
        <v>7216</v>
      </c>
      <c r="F68" s="1">
        <v>22</v>
      </c>
    </row>
    <row r="69" spans="1:9" x14ac:dyDescent="0.25">
      <c r="A69" s="2">
        <v>46028</v>
      </c>
      <c r="B69" s="1" t="s">
        <v>7</v>
      </c>
      <c r="C69" s="1">
        <v>785178</v>
      </c>
      <c r="D69" s="1">
        <v>8502</v>
      </c>
      <c r="E69" s="1">
        <v>8173</v>
      </c>
      <c r="F69" s="1">
        <v>60</v>
      </c>
    </row>
    <row r="70" spans="1:9" x14ac:dyDescent="0.25">
      <c r="A70" s="2">
        <v>46029</v>
      </c>
      <c r="B70" s="1" t="s">
        <v>6</v>
      </c>
      <c r="C70" s="1">
        <v>785178</v>
      </c>
      <c r="D70" s="1">
        <v>8524</v>
      </c>
      <c r="E70" s="1">
        <v>4326</v>
      </c>
      <c r="F70" s="1">
        <v>31</v>
      </c>
      <c r="G70" s="1" t="s">
        <v>9</v>
      </c>
      <c r="I70" s="1" t="s">
        <v>23</v>
      </c>
    </row>
    <row r="71" spans="1:9" x14ac:dyDescent="0.25">
      <c r="A71" s="2">
        <v>46029</v>
      </c>
      <c r="B71" s="1" t="s">
        <v>7</v>
      </c>
      <c r="C71" s="1">
        <v>1353670</v>
      </c>
      <c r="D71" s="1">
        <v>8502</v>
      </c>
      <c r="E71" s="1">
        <v>3301</v>
      </c>
      <c r="F71" s="1">
        <v>11</v>
      </c>
    </row>
    <row r="72" spans="1:9" x14ac:dyDescent="0.25">
      <c r="A72" s="2">
        <v>46029</v>
      </c>
      <c r="B72" s="1" t="s">
        <v>7</v>
      </c>
      <c r="C72" s="1">
        <v>308564</v>
      </c>
      <c r="D72" s="1">
        <v>8502</v>
      </c>
      <c r="E72" s="1">
        <v>7357</v>
      </c>
      <c r="F72" s="1">
        <v>40</v>
      </c>
    </row>
    <row r="73" spans="1:9" x14ac:dyDescent="0.25">
      <c r="A73" s="2">
        <v>46030</v>
      </c>
      <c r="B73" s="1" t="s">
        <v>6</v>
      </c>
      <c r="C73" s="1">
        <v>308564</v>
      </c>
      <c r="D73" s="1">
        <v>8524</v>
      </c>
      <c r="E73" s="1">
        <v>2340</v>
      </c>
      <c r="F73" s="1">
        <v>2</v>
      </c>
    </row>
    <row r="74" spans="1:9" x14ac:dyDescent="0.25">
      <c r="A74" s="2">
        <v>46030</v>
      </c>
      <c r="B74" s="1" t="s">
        <v>6</v>
      </c>
      <c r="D74" s="1">
        <v>8524</v>
      </c>
      <c r="E74" s="1">
        <v>6229</v>
      </c>
      <c r="F74" s="1">
        <v>37</v>
      </c>
      <c r="G74" s="1" t="s">
        <v>58</v>
      </c>
      <c r="H74" s="1" t="s">
        <v>17</v>
      </c>
    </row>
    <row r="75" spans="1:9" x14ac:dyDescent="0.25">
      <c r="A75" s="2">
        <v>46030</v>
      </c>
      <c r="B75" s="1" t="s">
        <v>7</v>
      </c>
      <c r="D75" s="1">
        <v>8502</v>
      </c>
      <c r="E75" s="1">
        <v>7394</v>
      </c>
      <c r="F75" s="1">
        <v>54</v>
      </c>
      <c r="G75" s="1" t="s">
        <v>57</v>
      </c>
    </row>
    <row r="76" spans="1:9" x14ac:dyDescent="0.25">
      <c r="A76" s="2">
        <v>46031</v>
      </c>
      <c r="B76" s="1" t="s">
        <v>6</v>
      </c>
      <c r="D76" s="1">
        <v>8524</v>
      </c>
      <c r="E76" s="1">
        <v>1201</v>
      </c>
      <c r="F76" s="1">
        <v>23</v>
      </c>
      <c r="G76" s="1" t="s">
        <v>59</v>
      </c>
      <c r="H76" s="1" t="s">
        <v>17</v>
      </c>
    </row>
    <row r="77" spans="1:9" x14ac:dyDescent="0.25">
      <c r="A77" s="2">
        <v>46031</v>
      </c>
      <c r="B77" s="1" t="s">
        <v>7</v>
      </c>
      <c r="C77" s="1">
        <v>1389060</v>
      </c>
      <c r="D77" s="1">
        <v>8502</v>
      </c>
      <c r="E77" s="1">
        <v>4369</v>
      </c>
      <c r="F77" s="1">
        <v>53</v>
      </c>
    </row>
    <row r="78" spans="1:9" x14ac:dyDescent="0.25">
      <c r="A78" s="2">
        <v>46032</v>
      </c>
      <c r="B78" s="1" t="s">
        <v>6</v>
      </c>
      <c r="C78" s="1">
        <v>1400967</v>
      </c>
      <c r="D78" s="1">
        <v>8524</v>
      </c>
      <c r="E78" s="1">
        <v>10023</v>
      </c>
    </row>
    <row r="79" spans="1:9" x14ac:dyDescent="0.25">
      <c r="A79" s="2">
        <v>46032</v>
      </c>
      <c r="B79" s="1" t="s">
        <v>7</v>
      </c>
      <c r="C79" s="1">
        <v>1400967</v>
      </c>
      <c r="D79" s="1">
        <v>8502</v>
      </c>
      <c r="E79" s="1">
        <v>16360</v>
      </c>
      <c r="F79" s="1">
        <v>49</v>
      </c>
    </row>
    <row r="80" spans="1:9" x14ac:dyDescent="0.25">
      <c r="A80" s="2">
        <v>46034</v>
      </c>
      <c r="B80" s="1" t="s">
        <v>6</v>
      </c>
      <c r="C80" s="1">
        <v>1400967</v>
      </c>
      <c r="D80" s="1">
        <v>8524</v>
      </c>
      <c r="E80" s="1">
        <v>6842</v>
      </c>
      <c r="F80" s="1">
        <v>33</v>
      </c>
    </row>
    <row r="81" spans="1:8" x14ac:dyDescent="0.25">
      <c r="A81" s="2">
        <v>46034</v>
      </c>
      <c r="B81" s="1" t="s">
        <v>7</v>
      </c>
      <c r="C81" s="1">
        <v>1389060</v>
      </c>
      <c r="D81" s="1">
        <v>8502</v>
      </c>
      <c r="E81" s="1">
        <v>10613</v>
      </c>
      <c r="F81" s="1">
        <v>32</v>
      </c>
    </row>
    <row r="82" spans="1:8" x14ac:dyDescent="0.25">
      <c r="A82" s="2">
        <v>46035</v>
      </c>
      <c r="B82" s="1" t="s">
        <v>6</v>
      </c>
      <c r="C82" s="1">
        <v>1389060</v>
      </c>
      <c r="D82" s="1">
        <v>8524</v>
      </c>
      <c r="E82" s="1">
        <v>16204</v>
      </c>
      <c r="F82" s="1">
        <v>27</v>
      </c>
    </row>
    <row r="83" spans="1:8" x14ac:dyDescent="0.25">
      <c r="A83" s="2">
        <v>46035</v>
      </c>
      <c r="B83" s="1" t="s">
        <v>6</v>
      </c>
      <c r="C83" s="1">
        <v>1404598</v>
      </c>
      <c r="D83" s="1">
        <v>8524</v>
      </c>
      <c r="E83" s="1">
        <v>1308</v>
      </c>
      <c r="F83" s="1">
        <v>2</v>
      </c>
    </row>
    <row r="84" spans="1:8" x14ac:dyDescent="0.25">
      <c r="A84" s="2">
        <v>46035</v>
      </c>
      <c r="B84" s="1" t="s">
        <v>7</v>
      </c>
      <c r="C84" s="1">
        <v>1404598</v>
      </c>
      <c r="D84" s="1">
        <v>8502</v>
      </c>
      <c r="E84" s="1">
        <v>13922</v>
      </c>
      <c r="F84" s="1">
        <v>5</v>
      </c>
    </row>
    <row r="85" spans="1:8" x14ac:dyDescent="0.25">
      <c r="A85" s="2">
        <v>46036</v>
      </c>
      <c r="B85" s="1" t="s">
        <v>6</v>
      </c>
      <c r="C85" s="1">
        <v>1404598</v>
      </c>
      <c r="D85" s="1">
        <v>8524</v>
      </c>
      <c r="E85" s="1">
        <v>11296</v>
      </c>
      <c r="F85" s="1">
        <v>12</v>
      </c>
    </row>
    <row r="86" spans="1:8" x14ac:dyDescent="0.25">
      <c r="A86" s="2">
        <v>46036</v>
      </c>
      <c r="B86" s="1" t="s">
        <v>7</v>
      </c>
      <c r="C86" s="1">
        <v>1404598</v>
      </c>
      <c r="D86" s="1">
        <v>8502</v>
      </c>
      <c r="E86" s="1">
        <v>11485</v>
      </c>
      <c r="F86" s="1">
        <v>10</v>
      </c>
    </row>
    <row r="87" spans="1:8" x14ac:dyDescent="0.25">
      <c r="A87" s="2">
        <v>46037</v>
      </c>
      <c r="B87" s="1" t="s">
        <v>6</v>
      </c>
      <c r="C87" s="1">
        <v>1404598</v>
      </c>
      <c r="D87" s="1">
        <v>8524</v>
      </c>
      <c r="E87" s="1">
        <v>11869</v>
      </c>
      <c r="F87" s="1">
        <v>26</v>
      </c>
      <c r="G87" s="1" t="s">
        <v>60</v>
      </c>
      <c r="H87" s="1" t="s">
        <v>17</v>
      </c>
    </row>
    <row r="88" spans="1:8" x14ac:dyDescent="0.25">
      <c r="A88" s="2">
        <v>46037</v>
      </c>
      <c r="B88" s="1" t="s">
        <v>6</v>
      </c>
      <c r="D88" s="1">
        <v>8524</v>
      </c>
      <c r="E88" s="1">
        <v>2197</v>
      </c>
      <c r="F88" s="1">
        <v>72</v>
      </c>
      <c r="G88" s="1" t="s">
        <v>61</v>
      </c>
      <c r="H88" s="1" t="s">
        <v>17</v>
      </c>
    </row>
    <row r="89" spans="1:8" x14ac:dyDescent="0.25">
      <c r="A89" s="2">
        <v>46038</v>
      </c>
      <c r="B89" s="1" t="s">
        <v>6</v>
      </c>
      <c r="D89" s="1">
        <v>8524</v>
      </c>
      <c r="F89" s="1" t="s">
        <v>17</v>
      </c>
      <c r="G89" s="1" t="s">
        <v>62</v>
      </c>
      <c r="H89" s="1" t="s">
        <v>17</v>
      </c>
    </row>
    <row r="90" spans="1:8" x14ac:dyDescent="0.25">
      <c r="A90" s="2">
        <v>46038</v>
      </c>
      <c r="B90" s="1" t="s">
        <v>7</v>
      </c>
      <c r="D90" s="1">
        <v>8502</v>
      </c>
    </row>
    <row r="91" spans="1:8" x14ac:dyDescent="0.25">
      <c r="A91" s="2">
        <v>46039</v>
      </c>
      <c r="B91" s="1" t="s">
        <v>7</v>
      </c>
      <c r="D91" s="1">
        <v>8502</v>
      </c>
      <c r="E91" s="1">
        <v>7454</v>
      </c>
      <c r="F91" s="1">
        <v>17</v>
      </c>
      <c r="G91" s="1" t="s">
        <v>63</v>
      </c>
    </row>
    <row r="92" spans="1:8" x14ac:dyDescent="0.25">
      <c r="A92" s="2">
        <v>46041</v>
      </c>
      <c r="B92" s="1" t="s">
        <v>6</v>
      </c>
      <c r="D92" s="1">
        <v>8524</v>
      </c>
      <c r="E92" s="1">
        <v>7000</v>
      </c>
      <c r="F92" s="1">
        <v>21</v>
      </c>
      <c r="G92" s="1" t="s">
        <v>64</v>
      </c>
    </row>
    <row r="93" spans="1:8" x14ac:dyDescent="0.25">
      <c r="A93" s="2">
        <v>46041</v>
      </c>
      <c r="B93" s="1" t="s">
        <v>7</v>
      </c>
      <c r="D93" s="1">
        <v>8502</v>
      </c>
      <c r="E93" s="1">
        <v>1777</v>
      </c>
      <c r="F93" s="1">
        <v>0</v>
      </c>
      <c r="G93" s="1" t="s">
        <v>65</v>
      </c>
    </row>
    <row r="94" spans="1:8" x14ac:dyDescent="0.25">
      <c r="A94" s="2">
        <v>46041</v>
      </c>
      <c r="B94" s="1" t="s">
        <v>7</v>
      </c>
      <c r="C94" s="1">
        <v>1406169</v>
      </c>
      <c r="D94" s="1">
        <v>8502</v>
      </c>
      <c r="E94" s="1">
        <v>7009</v>
      </c>
      <c r="F94" s="1">
        <v>16</v>
      </c>
    </row>
    <row r="95" spans="1:8" x14ac:dyDescent="0.25">
      <c r="A95" s="2">
        <v>46042</v>
      </c>
      <c r="B95" s="1" t="s">
        <v>6</v>
      </c>
      <c r="C95" s="1">
        <v>1406169</v>
      </c>
      <c r="D95" s="1">
        <v>8524</v>
      </c>
      <c r="E95" s="1">
        <v>6854</v>
      </c>
      <c r="F95" s="1">
        <v>37</v>
      </c>
    </row>
    <row r="96" spans="1:8" x14ac:dyDescent="0.25">
      <c r="A96" s="2">
        <v>46042</v>
      </c>
      <c r="B96" s="1" t="s">
        <v>7</v>
      </c>
      <c r="C96" s="1">
        <v>1406169</v>
      </c>
      <c r="D96" s="1">
        <v>8502</v>
      </c>
      <c r="E96" s="1">
        <v>9806</v>
      </c>
      <c r="F96" s="1">
        <v>12</v>
      </c>
    </row>
    <row r="97" spans="1:9" x14ac:dyDescent="0.25">
      <c r="A97" s="2">
        <v>46044</v>
      </c>
      <c r="B97" s="1" t="s">
        <v>6</v>
      </c>
      <c r="C97" s="1">
        <v>1406169</v>
      </c>
      <c r="D97" s="1">
        <v>8524</v>
      </c>
      <c r="E97" s="1">
        <v>9500</v>
      </c>
      <c r="G97" s="1" t="s">
        <v>66</v>
      </c>
    </row>
    <row r="98" spans="1:9" x14ac:dyDescent="0.25">
      <c r="A98" s="2">
        <v>46044</v>
      </c>
      <c r="B98" s="1" t="s">
        <v>7</v>
      </c>
      <c r="C98" s="1">
        <v>1406169</v>
      </c>
      <c r="D98" s="1">
        <v>8502</v>
      </c>
      <c r="E98" s="1">
        <v>5895</v>
      </c>
      <c r="F98" s="1">
        <v>12</v>
      </c>
      <c r="G98" s="1" t="s">
        <v>66</v>
      </c>
    </row>
    <row r="99" spans="1:9" x14ac:dyDescent="0.25">
      <c r="A99" s="2">
        <v>46045</v>
      </c>
      <c r="B99" s="1" t="s">
        <v>6</v>
      </c>
      <c r="D99" s="1">
        <v>8524</v>
      </c>
      <c r="F99" s="1" t="s">
        <v>17</v>
      </c>
      <c r="G99" s="1" t="s">
        <v>67</v>
      </c>
      <c r="H99" s="1" t="s">
        <v>17</v>
      </c>
    </row>
    <row r="100" spans="1:9" x14ac:dyDescent="0.25">
      <c r="A100" s="2">
        <v>46046</v>
      </c>
      <c r="B100" s="1" t="s">
        <v>6</v>
      </c>
      <c r="D100" s="1">
        <v>8524</v>
      </c>
      <c r="F100" s="1" t="s">
        <v>17</v>
      </c>
      <c r="G100" s="1" t="s">
        <v>67</v>
      </c>
      <c r="H100" s="1" t="s">
        <v>17</v>
      </c>
    </row>
    <row r="101" spans="1:9" x14ac:dyDescent="0.25">
      <c r="A101" s="2">
        <v>46048</v>
      </c>
      <c r="B101" s="1" t="s">
        <v>6</v>
      </c>
      <c r="D101" s="1">
        <v>8524</v>
      </c>
      <c r="F101" s="1" t="s">
        <v>17</v>
      </c>
      <c r="G101" s="1" t="s">
        <v>68</v>
      </c>
      <c r="H101" s="1" t="s">
        <v>17</v>
      </c>
    </row>
    <row r="102" spans="1:9" x14ac:dyDescent="0.25">
      <c r="A102" s="2">
        <v>46048</v>
      </c>
      <c r="B102" s="1" t="s">
        <v>7</v>
      </c>
      <c r="C102" s="1">
        <v>1406169</v>
      </c>
      <c r="D102" s="1">
        <v>8502</v>
      </c>
      <c r="E102" s="1">
        <v>12097</v>
      </c>
      <c r="F102" s="1">
        <v>10</v>
      </c>
    </row>
    <row r="103" spans="1:9" x14ac:dyDescent="0.25">
      <c r="A103" s="2">
        <v>46049</v>
      </c>
      <c r="B103" s="1" t="s">
        <v>6</v>
      </c>
      <c r="C103" s="1">
        <v>1406169</v>
      </c>
      <c r="D103" s="1">
        <v>8524</v>
      </c>
      <c r="E103" s="1">
        <v>6200</v>
      </c>
      <c r="F103" s="1" t="s">
        <v>17</v>
      </c>
      <c r="G103" s="1" t="s">
        <v>72</v>
      </c>
      <c r="H103" s="1" t="s">
        <v>17</v>
      </c>
    </row>
    <row r="104" spans="1:9" x14ac:dyDescent="0.25">
      <c r="A104" s="2">
        <v>46050</v>
      </c>
      <c r="B104" s="1" t="s">
        <v>6</v>
      </c>
      <c r="D104" s="1">
        <v>8524</v>
      </c>
      <c r="F104" s="1" t="s">
        <v>17</v>
      </c>
      <c r="G104" s="1" t="s">
        <v>73</v>
      </c>
      <c r="H104" s="1" t="s">
        <v>17</v>
      </c>
    </row>
    <row r="105" spans="1:9" x14ac:dyDescent="0.25">
      <c r="A105" s="2">
        <v>46050</v>
      </c>
      <c r="B105" s="1" t="s">
        <v>7</v>
      </c>
      <c r="C105" s="1">
        <v>1406169</v>
      </c>
      <c r="D105" s="1">
        <v>8502</v>
      </c>
      <c r="E105" s="1">
        <v>6795</v>
      </c>
      <c r="F105" s="1">
        <v>15</v>
      </c>
    </row>
    <row r="106" spans="1:9" x14ac:dyDescent="0.25">
      <c r="A106" s="2">
        <v>46051</v>
      </c>
      <c r="B106" s="1" t="s">
        <v>6</v>
      </c>
      <c r="C106" s="1">
        <v>1406169</v>
      </c>
      <c r="D106" s="1">
        <v>8524</v>
      </c>
      <c r="E106" s="1">
        <v>6005</v>
      </c>
      <c r="F106" s="1">
        <v>30</v>
      </c>
      <c r="G106" s="1" t="s">
        <v>72</v>
      </c>
      <c r="H106" s="1" t="s">
        <v>17</v>
      </c>
    </row>
    <row r="107" spans="1:9" x14ac:dyDescent="0.25">
      <c r="A107" s="2">
        <v>46053</v>
      </c>
      <c r="B107" s="1" t="s">
        <v>6</v>
      </c>
      <c r="D107" s="1">
        <v>8524</v>
      </c>
      <c r="E107" s="1">
        <v>1400</v>
      </c>
      <c r="F107" s="1">
        <v>20</v>
      </c>
      <c r="G107" s="1" t="s">
        <v>74</v>
      </c>
      <c r="H107" s="1" t="s">
        <v>17</v>
      </c>
      <c r="I107" s="1" t="s">
        <v>17</v>
      </c>
    </row>
    <row r="108" spans="1:9" x14ac:dyDescent="0.25">
      <c r="A108" s="2">
        <v>46056</v>
      </c>
      <c r="B108" s="1" t="s">
        <v>7</v>
      </c>
      <c r="D108" s="1">
        <v>8502</v>
      </c>
      <c r="E108" s="1">
        <v>6179</v>
      </c>
      <c r="F108" s="1">
        <v>25</v>
      </c>
      <c r="G108" s="1" t="s">
        <v>63</v>
      </c>
    </row>
    <row r="109" spans="1:9" x14ac:dyDescent="0.25">
      <c r="A109" s="2">
        <v>46057</v>
      </c>
      <c r="B109" s="1" t="s">
        <v>6</v>
      </c>
      <c r="D109" s="1">
        <v>8524</v>
      </c>
      <c r="F109" s="1" t="s">
        <v>17</v>
      </c>
      <c r="G109" s="1" t="s">
        <v>75</v>
      </c>
      <c r="H109" s="1" t="s">
        <v>17</v>
      </c>
    </row>
    <row r="110" spans="1:9" x14ac:dyDescent="0.25">
      <c r="A110" s="2">
        <v>46058</v>
      </c>
      <c r="B110" s="1" t="s">
        <v>6</v>
      </c>
      <c r="D110" s="1">
        <v>8524</v>
      </c>
      <c r="F110" s="1" t="s">
        <v>17</v>
      </c>
      <c r="G110" s="1" t="s">
        <v>76</v>
      </c>
      <c r="H110" s="1" t="s">
        <v>17</v>
      </c>
      <c r="I110" s="1" t="s">
        <v>17</v>
      </c>
    </row>
    <row r="111" spans="1:9" x14ac:dyDescent="0.25">
      <c r="A111" s="2">
        <v>46059</v>
      </c>
      <c r="B111" s="1" t="s">
        <v>6</v>
      </c>
      <c r="D111" s="1">
        <v>8524</v>
      </c>
      <c r="F111" s="1" t="s">
        <v>17</v>
      </c>
      <c r="G111" s="1" t="s">
        <v>77</v>
      </c>
      <c r="H111" s="1" t="s">
        <v>17</v>
      </c>
      <c r="I111" s="1" t="s">
        <v>17</v>
      </c>
    </row>
    <row r="112" spans="1:9" x14ac:dyDescent="0.25">
      <c r="A112" s="2">
        <v>46063</v>
      </c>
      <c r="B112" s="1" t="s">
        <v>7</v>
      </c>
      <c r="D112" s="1">
        <v>8502</v>
      </c>
      <c r="E112" s="1">
        <v>2650</v>
      </c>
      <c r="F112" s="1">
        <v>35</v>
      </c>
      <c r="G112" s="1" t="s">
        <v>63</v>
      </c>
    </row>
    <row r="113" spans="1:8" x14ac:dyDescent="0.25">
      <c r="A113" s="2">
        <v>46063</v>
      </c>
      <c r="B113" s="1" t="s">
        <v>7</v>
      </c>
      <c r="D113" s="1">
        <v>8502</v>
      </c>
      <c r="E113" s="1">
        <v>2079</v>
      </c>
      <c r="F113" s="1">
        <v>10</v>
      </c>
      <c r="G113" s="1" t="s">
        <v>78</v>
      </c>
    </row>
    <row r="114" spans="1:8" x14ac:dyDescent="0.25">
      <c r="A114" s="2">
        <v>46064</v>
      </c>
      <c r="B114" s="1" t="s">
        <v>6</v>
      </c>
      <c r="D114" s="1">
        <v>8524</v>
      </c>
      <c r="F114" s="1" t="s">
        <v>17</v>
      </c>
      <c r="G114" s="1" t="s">
        <v>79</v>
      </c>
      <c r="H114" s="1" t="s">
        <v>17</v>
      </c>
    </row>
    <row r="115" spans="1:8" x14ac:dyDescent="0.25">
      <c r="A115" s="2">
        <v>46065</v>
      </c>
      <c r="B115" s="1" t="s">
        <v>6</v>
      </c>
      <c r="D115" s="1">
        <v>8524</v>
      </c>
      <c r="F115" s="1" t="s">
        <v>17</v>
      </c>
      <c r="G115" s="1" t="s">
        <v>80</v>
      </c>
      <c r="H115" s="1" t="s">
        <v>17</v>
      </c>
    </row>
    <row r="116" spans="1:8" x14ac:dyDescent="0.25">
      <c r="A116" s="2">
        <v>46065</v>
      </c>
      <c r="B116" s="1" t="s">
        <v>6</v>
      </c>
      <c r="D116" s="1">
        <v>8524</v>
      </c>
      <c r="F116" s="1" t="s">
        <v>17</v>
      </c>
      <c r="G116" s="1" t="s">
        <v>81</v>
      </c>
      <c r="H116" s="1" t="s">
        <v>17</v>
      </c>
    </row>
    <row r="117" spans="1:8" x14ac:dyDescent="0.25">
      <c r="A117" s="2">
        <v>46066</v>
      </c>
      <c r="B117" s="1" t="s">
        <v>6</v>
      </c>
      <c r="D117" s="1">
        <v>8524</v>
      </c>
      <c r="G117" s="1" t="s">
        <v>66</v>
      </c>
    </row>
    <row r="118" spans="1:8" x14ac:dyDescent="0.25">
      <c r="A118" s="2">
        <v>46067</v>
      </c>
      <c r="B118" s="1" t="s">
        <v>6</v>
      </c>
      <c r="D118" s="1">
        <v>8524</v>
      </c>
      <c r="F118" s="1" t="s">
        <v>17</v>
      </c>
      <c r="G118" s="1" t="s">
        <v>82</v>
      </c>
      <c r="H118" s="1" t="s">
        <v>17</v>
      </c>
    </row>
    <row r="119" spans="1:8" x14ac:dyDescent="0.25">
      <c r="A119" s="2">
        <v>46071</v>
      </c>
      <c r="B119" s="1" t="s">
        <v>6</v>
      </c>
      <c r="D119" s="1">
        <v>8524</v>
      </c>
      <c r="G119" s="1" t="s">
        <v>66</v>
      </c>
    </row>
    <row r="120" spans="1:8" x14ac:dyDescent="0.25">
      <c r="A120" s="2">
        <v>46072</v>
      </c>
      <c r="B120" s="1" t="s">
        <v>6</v>
      </c>
      <c r="D120" s="1">
        <v>8524</v>
      </c>
      <c r="G120" s="1" t="s">
        <v>66</v>
      </c>
    </row>
    <row r="121" spans="1:8" x14ac:dyDescent="0.25">
      <c r="A121" s="2">
        <v>46073</v>
      </c>
      <c r="B121" s="1" t="s">
        <v>6</v>
      </c>
      <c r="D121" s="1">
        <v>8524</v>
      </c>
      <c r="F121" s="1" t="s">
        <v>17</v>
      </c>
      <c r="G121" s="1" t="s">
        <v>83</v>
      </c>
      <c r="H121" s="1" t="s">
        <v>17</v>
      </c>
    </row>
    <row r="122" spans="1:8" x14ac:dyDescent="0.25">
      <c r="A122" s="2">
        <v>46074</v>
      </c>
      <c r="B122" s="1" t="s">
        <v>6</v>
      </c>
      <c r="D122" s="1">
        <v>8524</v>
      </c>
      <c r="F122" s="1" t="s">
        <v>17</v>
      </c>
      <c r="G122" s="1">
        <v>4</v>
      </c>
      <c r="H122" s="1" t="s">
        <v>17</v>
      </c>
    </row>
    <row r="123" spans="1:8" x14ac:dyDescent="0.25">
      <c r="A123" s="2">
        <v>46076</v>
      </c>
      <c r="B123" s="1" t="s">
        <v>6</v>
      </c>
      <c r="D123" s="1">
        <v>8524</v>
      </c>
      <c r="F123" s="1" t="s">
        <v>17</v>
      </c>
      <c r="G123" s="1" t="s">
        <v>83</v>
      </c>
      <c r="H123" s="1" t="s">
        <v>17</v>
      </c>
    </row>
    <row r="124" spans="1:8" x14ac:dyDescent="0.25">
      <c r="A124" s="2">
        <v>46077</v>
      </c>
      <c r="B124" s="1" t="s">
        <v>6</v>
      </c>
      <c r="D124" s="1">
        <v>8524</v>
      </c>
      <c r="F124" s="1" t="s">
        <v>17</v>
      </c>
      <c r="G124" s="1" t="s">
        <v>83</v>
      </c>
      <c r="H124" s="1" t="s">
        <v>17</v>
      </c>
    </row>
    <row r="125" spans="1:8" x14ac:dyDescent="0.25">
      <c r="A125" s="2">
        <v>46078</v>
      </c>
      <c r="B125" s="1" t="s">
        <v>6</v>
      </c>
      <c r="D125" s="1">
        <v>8524</v>
      </c>
      <c r="F125" s="1" t="s">
        <v>17</v>
      </c>
      <c r="G125" s="1" t="s">
        <v>83</v>
      </c>
      <c r="H125" s="1" t="s">
        <v>17</v>
      </c>
    </row>
    <row r="126" spans="1:8" x14ac:dyDescent="0.25">
      <c r="A126" s="2">
        <v>46079</v>
      </c>
      <c r="B126" s="1" t="s">
        <v>6</v>
      </c>
      <c r="D126" s="1">
        <v>8524</v>
      </c>
      <c r="F126" s="1" t="s">
        <v>17</v>
      </c>
      <c r="G126" s="1" t="s">
        <v>83</v>
      </c>
      <c r="H126" s="1" t="s">
        <v>17</v>
      </c>
    </row>
    <row r="127" spans="1:8" x14ac:dyDescent="0.25">
      <c r="A127" s="2">
        <v>46079</v>
      </c>
      <c r="B127" s="1" t="s">
        <v>7</v>
      </c>
      <c r="C127" s="1">
        <v>1418443</v>
      </c>
      <c r="D127" s="1">
        <v>8502</v>
      </c>
      <c r="E127" s="1">
        <v>9905</v>
      </c>
      <c r="F127" s="1">
        <v>15</v>
      </c>
    </row>
    <row r="128" spans="1:8" x14ac:dyDescent="0.25">
      <c r="A128" s="2">
        <v>46083</v>
      </c>
      <c r="B128" s="1" t="s">
        <v>6</v>
      </c>
      <c r="C128" s="1">
        <v>1418443</v>
      </c>
      <c r="D128" s="1">
        <v>8524</v>
      </c>
      <c r="E128" s="1">
        <v>3152</v>
      </c>
      <c r="F128" s="1">
        <v>60</v>
      </c>
    </row>
    <row r="129" spans="1:8" x14ac:dyDescent="0.25">
      <c r="A129" s="2">
        <v>46084</v>
      </c>
      <c r="B129" s="1" t="s">
        <v>6</v>
      </c>
      <c r="D129" s="1">
        <v>8524</v>
      </c>
      <c r="F129" s="1" t="s">
        <v>17</v>
      </c>
      <c r="G129" s="1" t="s">
        <v>84</v>
      </c>
      <c r="H129" s="1" t="s">
        <v>17</v>
      </c>
    </row>
    <row r="130" spans="1:8" x14ac:dyDescent="0.25">
      <c r="A130" s="2">
        <v>46094</v>
      </c>
      <c r="B130" s="1" t="s">
        <v>6</v>
      </c>
      <c r="C130" s="1">
        <v>1418443</v>
      </c>
      <c r="D130" s="1">
        <v>8524</v>
      </c>
      <c r="E130" s="1">
        <v>6702</v>
      </c>
      <c r="F130" s="1">
        <v>70</v>
      </c>
      <c r="G130" s="1" t="s">
        <v>93</v>
      </c>
      <c r="H130" s="1" t="s">
        <v>17</v>
      </c>
    </row>
  </sheetData>
  <mergeCells count="2">
    <mergeCell ref="K1:M1"/>
    <mergeCell ref="R1:S1"/>
  </mergeCells>
  <pageMargins left="0.59055118110236227" right="0" top="0.27559055118110237" bottom="0.19685039370078741" header="0.31496062992125984" footer="0.31496062992125984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4300-00AC-4831-99DB-3D8CFD1F7B78}">
  <dimension ref="A1:Q27"/>
  <sheetViews>
    <sheetView workbookViewId="0">
      <selection activeCell="E7" sqref="E7"/>
    </sheetView>
  </sheetViews>
  <sheetFormatPr defaultRowHeight="15" x14ac:dyDescent="0.25"/>
  <cols>
    <col min="1" max="6" width="20" style="1" customWidth="1"/>
    <col min="7" max="7" width="20.5703125" style="1" customWidth="1"/>
    <col min="8" max="8" width="20" customWidth="1"/>
    <col min="9" max="9" width="16.7109375" customWidth="1"/>
    <col min="10" max="10" width="20.42578125" customWidth="1"/>
    <col min="11" max="13" width="16.7109375" customWidth="1"/>
    <col min="14" max="17" width="26.140625" customWidth="1"/>
  </cols>
  <sheetData>
    <row r="1" spans="1:17" ht="54" customHeight="1" x14ac:dyDescent="0.25">
      <c r="A1" s="29" t="s">
        <v>1</v>
      </c>
      <c r="B1" s="30" t="s">
        <v>4</v>
      </c>
      <c r="C1" s="30" t="s">
        <v>0</v>
      </c>
      <c r="D1" s="30" t="s">
        <v>5</v>
      </c>
      <c r="E1" s="30" t="s">
        <v>2</v>
      </c>
      <c r="F1" s="30" t="s">
        <v>3</v>
      </c>
      <c r="G1" s="30" t="s">
        <v>10</v>
      </c>
      <c r="H1" s="28" t="s">
        <v>18</v>
      </c>
      <c r="I1" s="9" t="s">
        <v>11</v>
      </c>
      <c r="J1" s="9" t="s">
        <v>16</v>
      </c>
      <c r="K1" s="32" t="s">
        <v>12</v>
      </c>
      <c r="L1" s="32"/>
      <c r="M1" s="32"/>
      <c r="N1" s="15" t="s">
        <v>24</v>
      </c>
      <c r="O1" s="15" t="s">
        <v>25</v>
      </c>
      <c r="P1" s="15" t="s">
        <v>26</v>
      </c>
      <c r="Q1" s="19" t="s">
        <v>55</v>
      </c>
    </row>
    <row r="2" spans="1:17" x14ac:dyDescent="0.25">
      <c r="A2" s="2">
        <v>46084</v>
      </c>
      <c r="B2" s="1" t="s">
        <v>6</v>
      </c>
      <c r="C2" s="1">
        <v>1406169</v>
      </c>
      <c r="D2" s="1">
        <v>8524</v>
      </c>
      <c r="E2" s="1">
        <v>3200</v>
      </c>
      <c r="F2" s="1">
        <v>200</v>
      </c>
      <c r="G2" s="1" t="s">
        <v>85</v>
      </c>
      <c r="H2" t="s">
        <v>17</v>
      </c>
      <c r="I2" s="13"/>
      <c r="J2" s="14">
        <f>AVERAGE(E2:E206)</f>
        <v>1816</v>
      </c>
      <c r="K2" s="6" t="s">
        <v>13</v>
      </c>
      <c r="L2" s="5"/>
      <c r="M2" s="16" t="s">
        <v>14</v>
      </c>
      <c r="N2" s="1" t="s">
        <v>27</v>
      </c>
      <c r="O2" s="1">
        <v>1</v>
      </c>
      <c r="P2" s="1" t="s">
        <v>28</v>
      </c>
      <c r="Q2" s="1"/>
    </row>
    <row r="3" spans="1:17" x14ac:dyDescent="0.25">
      <c r="A3" s="2">
        <v>46085</v>
      </c>
      <c r="B3" s="1" t="s">
        <v>6</v>
      </c>
      <c r="C3" s="1">
        <v>1406169</v>
      </c>
      <c r="D3" s="1">
        <v>8524</v>
      </c>
      <c r="E3" s="1">
        <v>2000</v>
      </c>
      <c r="F3" s="1">
        <v>200</v>
      </c>
      <c r="G3" s="1" t="s">
        <v>85</v>
      </c>
      <c r="H3" t="s">
        <v>17</v>
      </c>
      <c r="I3" s="12"/>
      <c r="J3" s="1"/>
      <c r="K3" s="4">
        <f>SUM(E2:E2000)</f>
        <v>10896</v>
      </c>
      <c r="L3" s="4"/>
      <c r="M3" s="18">
        <f>SUM(F2:F2000)</f>
        <v>993</v>
      </c>
      <c r="N3" s="1" t="s">
        <v>27</v>
      </c>
      <c r="O3" s="1">
        <v>24</v>
      </c>
      <c r="P3" s="1" t="s">
        <v>29</v>
      </c>
      <c r="Q3" s="1">
        <v>1406169</v>
      </c>
    </row>
    <row r="4" spans="1:17" x14ac:dyDescent="0.25">
      <c r="A4" s="2">
        <v>46086</v>
      </c>
      <c r="B4" s="1" t="s">
        <v>6</v>
      </c>
      <c r="D4" s="1">
        <v>8524</v>
      </c>
      <c r="F4" s="1" t="s">
        <v>17</v>
      </c>
      <c r="G4" s="1" t="s">
        <v>88</v>
      </c>
      <c r="H4" t="s">
        <v>17</v>
      </c>
      <c r="I4" s="4">
        <f>I2+I3</f>
        <v>0</v>
      </c>
      <c r="J4" s="1"/>
      <c r="K4" s="1"/>
      <c r="L4" s="1"/>
      <c r="M4" s="1"/>
      <c r="N4" s="1" t="s">
        <v>27</v>
      </c>
      <c r="O4" s="1">
        <v>25</v>
      </c>
      <c r="P4" s="1" t="s">
        <v>30</v>
      </c>
      <c r="Q4" s="1"/>
    </row>
    <row r="5" spans="1:17" x14ac:dyDescent="0.25">
      <c r="A5" s="2">
        <v>46087</v>
      </c>
      <c r="B5" s="1" t="s">
        <v>6</v>
      </c>
      <c r="C5" s="1">
        <v>1406169</v>
      </c>
      <c r="D5" s="1">
        <v>8524</v>
      </c>
      <c r="E5" s="1">
        <v>364</v>
      </c>
      <c r="F5" s="1">
        <v>100</v>
      </c>
      <c r="G5" s="1" t="s">
        <v>89</v>
      </c>
      <c r="H5" t="s">
        <v>17</v>
      </c>
      <c r="N5" s="1" t="s">
        <v>27</v>
      </c>
      <c r="O5" s="1">
        <v>30</v>
      </c>
      <c r="P5" s="1" t="s">
        <v>31</v>
      </c>
      <c r="Q5" s="1"/>
    </row>
    <row r="6" spans="1:17" x14ac:dyDescent="0.25">
      <c r="A6" s="2">
        <v>46090</v>
      </c>
      <c r="B6" s="1" t="s">
        <v>6</v>
      </c>
      <c r="C6" s="1">
        <v>1406169</v>
      </c>
      <c r="D6" s="1">
        <v>8524</v>
      </c>
      <c r="E6" s="1">
        <v>1672</v>
      </c>
      <c r="F6" s="1">
        <v>73</v>
      </c>
      <c r="G6" s="1" t="s">
        <v>90</v>
      </c>
      <c r="H6" t="s">
        <v>17</v>
      </c>
      <c r="N6" s="1" t="s">
        <v>27</v>
      </c>
      <c r="O6" s="1">
        <v>173</v>
      </c>
      <c r="P6" s="1" t="s">
        <v>32</v>
      </c>
      <c r="Q6" s="1">
        <v>1353670</v>
      </c>
    </row>
    <row r="7" spans="1:17" x14ac:dyDescent="0.25">
      <c r="A7" s="2">
        <v>46093</v>
      </c>
      <c r="B7" s="1" t="s">
        <v>6</v>
      </c>
      <c r="C7" s="1">
        <v>1406169</v>
      </c>
      <c r="D7" s="1">
        <v>8524</v>
      </c>
      <c r="E7" s="1">
        <v>360</v>
      </c>
      <c r="F7" s="1">
        <v>300</v>
      </c>
      <c r="G7" s="1" t="s">
        <v>91</v>
      </c>
      <c r="H7" t="s">
        <v>17</v>
      </c>
      <c r="N7" s="1" t="s">
        <v>27</v>
      </c>
      <c r="O7" s="1">
        <v>187</v>
      </c>
      <c r="P7" s="17" t="s">
        <v>9</v>
      </c>
      <c r="Q7" s="1"/>
    </row>
    <row r="8" spans="1:17" x14ac:dyDescent="0.25">
      <c r="A8" s="2">
        <v>46094</v>
      </c>
      <c r="B8" s="1" t="s">
        <v>6</v>
      </c>
      <c r="C8" s="1">
        <v>1406169</v>
      </c>
      <c r="D8" s="1">
        <v>8524</v>
      </c>
      <c r="E8" s="1">
        <v>3300</v>
      </c>
      <c r="F8" s="1">
        <v>120</v>
      </c>
      <c r="N8" s="1" t="s">
        <v>27</v>
      </c>
      <c r="O8" s="1">
        <v>188</v>
      </c>
      <c r="P8" s="1" t="s">
        <v>33</v>
      </c>
      <c r="Q8" s="1"/>
    </row>
    <row r="9" spans="1:17" x14ac:dyDescent="0.25">
      <c r="N9" s="1" t="s">
        <v>27</v>
      </c>
      <c r="O9" s="1">
        <v>190</v>
      </c>
      <c r="P9" s="1" t="s">
        <v>34</v>
      </c>
      <c r="Q9" s="1"/>
    </row>
    <row r="10" spans="1:17" x14ac:dyDescent="0.25">
      <c r="N10" s="1" t="s">
        <v>27</v>
      </c>
      <c r="O10" s="1">
        <v>411</v>
      </c>
      <c r="P10" s="1" t="s">
        <v>35</v>
      </c>
      <c r="Q10" s="1"/>
    </row>
    <row r="11" spans="1:17" x14ac:dyDescent="0.25">
      <c r="N11" s="1" t="s">
        <v>27</v>
      </c>
      <c r="O11" s="1">
        <v>474</v>
      </c>
      <c r="P11" s="1" t="s">
        <v>36</v>
      </c>
      <c r="Q11" s="1"/>
    </row>
    <row r="12" spans="1:17" x14ac:dyDescent="0.25">
      <c r="N12" s="1" t="s">
        <v>27</v>
      </c>
      <c r="O12" s="1">
        <v>475</v>
      </c>
      <c r="P12" s="1" t="s">
        <v>37</v>
      </c>
      <c r="Q12" s="1"/>
    </row>
    <row r="13" spans="1:17" x14ac:dyDescent="0.25">
      <c r="N13" s="1" t="s">
        <v>27</v>
      </c>
      <c r="O13" s="1">
        <v>476</v>
      </c>
      <c r="P13" s="1" t="s">
        <v>38</v>
      </c>
      <c r="Q13" s="1"/>
    </row>
    <row r="14" spans="1:17" x14ac:dyDescent="0.25">
      <c r="N14" s="1" t="s">
        <v>27</v>
      </c>
      <c r="O14" s="1">
        <v>477</v>
      </c>
      <c r="P14" s="17" t="s">
        <v>39</v>
      </c>
      <c r="Q14" s="1">
        <v>1389060</v>
      </c>
    </row>
    <row r="15" spans="1:17" x14ac:dyDescent="0.25">
      <c r="N15" s="1" t="s">
        <v>27</v>
      </c>
      <c r="O15" s="1">
        <v>596</v>
      </c>
      <c r="P15" s="1" t="s">
        <v>40</v>
      </c>
      <c r="Q15" s="1"/>
    </row>
    <row r="16" spans="1:17" x14ac:dyDescent="0.25">
      <c r="N16" s="1" t="s">
        <v>27</v>
      </c>
      <c r="O16" s="1">
        <v>639</v>
      </c>
      <c r="P16" s="1" t="s">
        <v>41</v>
      </c>
      <c r="Q16" s="1"/>
    </row>
    <row r="17" spans="14:17" x14ac:dyDescent="0.25">
      <c r="N17" s="1" t="s">
        <v>27</v>
      </c>
      <c r="O17" s="1">
        <v>647</v>
      </c>
      <c r="P17" s="1" t="s">
        <v>42</v>
      </c>
      <c r="Q17" s="1"/>
    </row>
    <row r="18" spans="14:17" x14ac:dyDescent="0.25">
      <c r="N18" s="1" t="s">
        <v>27</v>
      </c>
      <c r="O18" s="1">
        <v>648</v>
      </c>
      <c r="P18" s="1" t="s">
        <v>43</v>
      </c>
      <c r="Q18" s="1"/>
    </row>
    <row r="19" spans="14:17" x14ac:dyDescent="0.25">
      <c r="N19" s="1" t="s">
        <v>27</v>
      </c>
      <c r="O19" s="1">
        <v>649</v>
      </c>
      <c r="P19" s="1" t="s">
        <v>44</v>
      </c>
      <c r="Q19" s="1"/>
    </row>
    <row r="20" spans="14:17" x14ac:dyDescent="0.25">
      <c r="N20" s="1" t="s">
        <v>27</v>
      </c>
      <c r="O20" s="1">
        <v>767</v>
      </c>
      <c r="P20" s="1" t="s">
        <v>45</v>
      </c>
      <c r="Q20" s="1"/>
    </row>
    <row r="21" spans="14:17" x14ac:dyDescent="0.25">
      <c r="N21" s="1" t="s">
        <v>27</v>
      </c>
      <c r="O21" s="1">
        <v>888</v>
      </c>
      <c r="P21" s="1" t="s">
        <v>46</v>
      </c>
      <c r="Q21" s="1"/>
    </row>
    <row r="22" spans="14:17" x14ac:dyDescent="0.25">
      <c r="N22" s="1" t="s">
        <v>27</v>
      </c>
      <c r="O22" s="1">
        <v>1149</v>
      </c>
      <c r="P22" s="1" t="s">
        <v>47</v>
      </c>
      <c r="Q22" s="1">
        <v>1404598</v>
      </c>
    </row>
    <row r="23" spans="14:17" x14ac:dyDescent="0.25">
      <c r="N23" s="1" t="s">
        <v>27</v>
      </c>
      <c r="O23" s="1">
        <v>1157</v>
      </c>
      <c r="P23" s="1" t="s">
        <v>48</v>
      </c>
      <c r="Q23" s="1"/>
    </row>
    <row r="24" spans="14:17" x14ac:dyDescent="0.25">
      <c r="N24" s="1" t="s">
        <v>27</v>
      </c>
      <c r="O24" s="1">
        <v>1174</v>
      </c>
      <c r="P24" s="1" t="s">
        <v>49</v>
      </c>
      <c r="Q24" s="1">
        <v>308564</v>
      </c>
    </row>
    <row r="25" spans="14:17" x14ac:dyDescent="0.25">
      <c r="N25" s="1" t="s">
        <v>27</v>
      </c>
      <c r="O25" s="1">
        <v>1202</v>
      </c>
      <c r="P25" s="1" t="s">
        <v>50</v>
      </c>
      <c r="Q25" s="1"/>
    </row>
    <row r="26" spans="14:17" x14ac:dyDescent="0.25">
      <c r="N26" s="1" t="s">
        <v>27</v>
      </c>
      <c r="O26" s="1">
        <v>1345</v>
      </c>
      <c r="P26" s="1" t="s">
        <v>51</v>
      </c>
      <c r="Q26" s="1"/>
    </row>
    <row r="27" spans="14:17" x14ac:dyDescent="0.25">
      <c r="N27" s="1" t="s">
        <v>27</v>
      </c>
      <c r="O27" s="1">
        <v>1498</v>
      </c>
      <c r="P27" s="1" t="s">
        <v>52</v>
      </c>
      <c r="Q27" s="1"/>
    </row>
  </sheetData>
  <mergeCells count="1">
    <mergeCell ref="K1:M1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184B-1E33-47EF-9675-0892F220B5E2}">
  <dimension ref="A1:E3"/>
  <sheetViews>
    <sheetView workbookViewId="0">
      <selection activeCell="D11" sqref="D11"/>
    </sheetView>
  </sheetViews>
  <sheetFormatPr defaultRowHeight="15" x14ac:dyDescent="0.25"/>
  <cols>
    <col min="1" max="4" width="23.7109375" style="1" customWidth="1"/>
    <col min="5" max="5" width="21.5703125" style="1" customWidth="1"/>
  </cols>
  <sheetData>
    <row r="1" spans="1:5" ht="53.25" customHeight="1" x14ac:dyDescent="0.25">
      <c r="A1" s="29" t="s">
        <v>1</v>
      </c>
      <c r="B1" s="30" t="s">
        <v>4</v>
      </c>
      <c r="C1" s="30" t="s">
        <v>86</v>
      </c>
      <c r="D1" s="29" t="s">
        <v>87</v>
      </c>
      <c r="E1" s="31" t="s">
        <v>18</v>
      </c>
    </row>
    <row r="2" spans="1:5" x14ac:dyDescent="0.25">
      <c r="A2" s="2">
        <v>46086</v>
      </c>
      <c r="B2" s="1" t="s">
        <v>6</v>
      </c>
      <c r="C2" s="1">
        <v>8524</v>
      </c>
      <c r="D2" s="1" t="s">
        <v>88</v>
      </c>
      <c r="E2" s="1" t="s">
        <v>17</v>
      </c>
    </row>
    <row r="3" spans="1:5" x14ac:dyDescent="0.25">
      <c r="A3" s="2">
        <v>46093</v>
      </c>
      <c r="B3" s="1" t="s">
        <v>6</v>
      </c>
      <c r="C3" s="1">
        <v>8524</v>
      </c>
      <c r="D3" s="1" t="s">
        <v>92</v>
      </c>
      <c r="E3" s="1" t="s">
        <v>17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ENCABEÇAMENTO</vt:lpstr>
      <vt:lpstr>ARTE</vt:lpstr>
      <vt:lpstr>OBSERVAÇÕES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</dc:creator>
  <cp:lastModifiedBy>Sala Impressão</cp:lastModifiedBy>
  <cp:lastPrinted>2025-11-06T18:25:19Z</cp:lastPrinted>
  <dcterms:created xsi:type="dcterms:W3CDTF">2025-11-06T18:18:10Z</dcterms:created>
  <dcterms:modified xsi:type="dcterms:W3CDTF">2026-03-13T17:48:25Z</dcterms:modified>
</cp:coreProperties>
</file>