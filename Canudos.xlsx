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38DB26E2-751E-4523-AC02-C658A719F2FC}" xr6:coauthVersionLast="47" xr6:coauthVersionMax="47" xr10:uidLastSave="{00000000-0000-0000-0000-000000000000}"/>
  <bookViews>
    <workbookView xWindow="-120" yWindow="-120" windowWidth="29040" windowHeight="15720" activeTab="2" xr2:uid="{2551C110-448D-4C8A-AC10-E46F4B669B16}"/>
  </bookViews>
  <sheets>
    <sheet name="ENCABEÇAMENTO" sheetId="1" r:id="rId1"/>
    <sheet name="ARTE" sheetId="2" r:id="rId2"/>
    <sheet name="OBSERVAÇÕES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M3" i="2"/>
  <c r="K3" i="2"/>
  <c r="J2" i="2"/>
  <c r="J2" i="1"/>
  <c r="K3" i="1"/>
  <c r="I4" i="1"/>
  <c r="M3" i="1"/>
</calcChain>
</file>

<file path=xl/sharedStrings.xml><?xml version="1.0" encoding="utf-8"?>
<sst xmlns="http://schemas.openxmlformats.org/spreadsheetml/2006/main" count="411" uniqueCount="96">
  <si>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</si>
  <si>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</si>
  <si>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</si>
  <si>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</si>
  <si>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</si>
  <si>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</si>
  <si>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</si>
  <si>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</si>
  <si>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</si>
  <si>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</si>
  <si>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</si>
  <si>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</si>
  <si>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</si>
  <si>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</si>
  <si>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</si>
  <si>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</si>
  <si>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</si>
  <si>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</si>
  <si>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</si>
  <si>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</si>
  <si>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</si>
  <si>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</si>
  <si>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</si>
  <si>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</si>
  <si>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</si>
  <si>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</si>
  <si>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</si>
  <si>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</si>
  <si>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</si>
  <si>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</si>
  <si>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</si>
  <si>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</si>
  <si>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</si>
  <si>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</si>
  <si>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</si>
  <si>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</si>
  <si>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</si>
  <si>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</si>
  <si>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</si>
  <si>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</si>
  <si>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</si>
  <si>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</si>
  <si>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</si>
  <si>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</si>
  <si>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</si>
  <si>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</si>
  <si>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</si>
  <si>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</si>
  <si>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</si>
  <si>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</si>
  <si>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</si>
  <si>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</si>
  <si>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</si>
  <si>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</si>
  <si>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</si>
  <si>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</si>
  <si>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</si>
  <si>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</si>
  <si>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</si>
  <si>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</si>
  <si>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</si>
  <si>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</si>
  <si>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</si>
  <si>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</si>
  <si>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</si>
  <si>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</si>
  <si>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</si>
  <si>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</si>
  <si>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</si>
  <si>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</si>
  <si>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</si>
  <si>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</si>
  <si>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</si>
  <si>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</si>
  <si>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</si>
  <si>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</si>
  <si>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</si>
  <si>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</si>
  <si>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</si>
  <si>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</si>
  <si>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</si>
  <si>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</si>
  <si>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</si>
  <si>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</si>
  <si>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>MAQUINA NOVA DE CANUDOS É REALOCADA AO SETOR DE IMPRESSÃO DIGITAL. MAQUINA VEIO, PORÉM, AINDA COM DEFEITOS E VARIAS REGULAGENS NÃO FEITAS.</t>
  </si>
  <si>
    <t xml:space="preserve">MAQUINA AINDA EM FASE DE TESTES </t>
  </si>
  <si>
    <t>OPERADOR</t>
  </si>
  <si>
    <t>OBSERVAÇÃO</t>
  </si>
  <si>
    <t xml:space="preserve">MAQUINA APRESENTA DEFEITO NO ROLO QUE PASSA AS ARTES PARA O CANUDO, ROLO RACHOU POR COMPLETO </t>
  </si>
  <si>
    <t xml:space="preserve">VOLTA DA MAQUINA 29, OPERADOR AUXILIOU NAS MAQUINAS DE IMPRESSÃO ENQUANTO OPERADOR DIEGO FAZIA TESTES E DPS TROCAVA MOLDE PARA NOVA ORDEM </t>
  </si>
  <si>
    <t xml:space="preserve">MAQUINA NÃO APRESENTOU PROBLEMAS </t>
  </si>
  <si>
    <t>MAQUINA APRESENTA DEFEITO NA ARTE (MINNIE ROSA), FORAM FEITOS VARIOS TESTES  AJUSTES, MAS O DEFEITO PERMANECEU, POSSIVEL PROBLEMA NO TRANSFER</t>
  </si>
  <si>
    <t>MAQUINA APRESENTA DEFEITO NA ARTE (MINNIE ROSA), FORAM FEITOS VARIOS TESTES E AJUSTES, MAS O DEFEITO PERMANECEU, POSSIVEL PROBLEMA NO TRANSFER</t>
  </si>
  <si>
    <t xml:space="preserve">RODANDO TRANSFER E ENCABEÇADORA </t>
  </si>
  <si>
    <t>MAQUINA ESTÁ APRESENTANDO PROBLEMA NA ALIMENTAÇÃO DE CANUDOS</t>
  </si>
  <si>
    <t>MAQUINA DE TRANSFER APRESENTA PROBLEMA NA ALIMENTAÇÃO DE CANUDOS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</si>
</sst>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6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75338</xdr:colOff>
      <xdr:row>0</xdr:row>
      <xdr:rowOff>0</xdr:rowOff>
    </xdr:from>
    <xdr:to>
      <xdr:col>7</xdr:col>
      <xdr:colOff>1238250</xdr:colOff>
      <xdr:row>1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F6F5F1-B4D8-48C7-AAC5-555001261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7938" y="0"/>
          <a:ext cx="1162912" cy="79057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2" name="AutoShape 4" descr="SAC Plasutil| Telefones 0800 | Atendimento Online - SAC 0800">
          <a:extLst>
            <a:ext uri="{FF2B5EF4-FFF2-40B4-BE49-F238E27FC236}">
              <a16:creationId xmlns:a16="http://schemas.microsoft.com/office/drawing/2014/main" id="{4F210745-ECF1-45B5-9C09-95741CEDF35D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298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4" name="AutoShape 5" descr="Crie sua loja virtual e venda sem limites! | ecomece">
          <a:extLst>
            <a:ext uri="{FF2B5EF4-FFF2-40B4-BE49-F238E27FC236}">
              <a16:creationId xmlns:a16="http://schemas.microsoft.com/office/drawing/2014/main" id="{91F892CF-5F2F-4483-AA06-456DEA25AE62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164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5" name="AutoShape 6" descr="Crie sua loja virtual e venda sem limites! | ecomece">
          <a:extLst>
            <a:ext uri="{FF2B5EF4-FFF2-40B4-BE49-F238E27FC236}">
              <a16:creationId xmlns:a16="http://schemas.microsoft.com/office/drawing/2014/main" id="{8A713725-E58E-4984-AC6A-89DD84091EDD}"/>
            </a:ext>
          </a:extLst>
        </xdr:cNvPr>
        <xdr:cNvSpPr>
          <a:spLocks noChangeAspect="1" noChangeArrowheads="1"/>
        </xdr:cNvSpPr>
      </xdr:nvSpPr>
      <xdr:spPr bwMode="auto">
        <a:xfrm>
          <a:off x="1780222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D7856664-FD8F-4635-9937-C50679DFA3A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393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4BA2B30-306B-4E54-AB2D-92960F25AD3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12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3E80784-6187-45BC-8AAD-5BD5DDDD991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31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78B0560-EFCB-4D27-8EE0-2AAA9DCCB9F0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B564022B-2E4F-4C19-A475-3824ED22DCA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DBE6BB5-6406-486A-85D1-64DFCB7DFCD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E30B163-772A-4A44-A90A-74EA01FE7901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B1F6770-14D1-40F1-9C55-FCF842D56CC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D9090B3-FCEB-4866-B26E-BFC151B28BB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D121407-3ED3-49C4-B47D-705C9F4B7A3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493D31E-B7B3-4028-BF36-08C17831108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4189E56-E3B7-4BF0-B731-4F76C18AD2D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4B964A9-871D-4618-A1C3-183ECCF9978A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C5D3EDE-D9DC-41B4-B1F4-101C951EEBA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114300</xdr:colOff>
      <xdr:row>0</xdr:row>
      <xdr:rowOff>0</xdr:rowOff>
    </xdr:from>
    <xdr:to>
      <xdr:col>4</xdr:col>
      <xdr:colOff>1277212</xdr:colOff>
      <xdr:row>1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179787-183C-4A16-9737-675A8F58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38900" y="0"/>
          <a:ext cx="1162912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59" dataDxfId="57" headerRowBorderDxfId="58">
  <autoFilter ref="A1:H1048575" xr:uid="{5BB2D3F9-C887-4B4C-B99D-D2DF65DEC2A6}"/>
  <tableColumns count="8">
    <tableColumn id="1" xr3:uid="{087A0113-3A7F-4ED4-85E5-B6DA7A785E6E}" name="Data" dataDxfId="56" totalsRowDxfId="55"/>
    <tableColumn id="2" xr3:uid="{B5ACDCB9-111C-4EEF-A7F2-0DFD4B46F701}" name="Turno" dataDxfId="54" totalsRowDxfId="53"/>
    <tableColumn id="3" xr3:uid="{8DF57E4B-CE5D-4D81-A024-AF995D46B0D6}" name="OS" dataDxfId="52" totalsRowDxfId="51"/>
    <tableColumn id="4" xr3:uid="{ED2D14F5-1612-4387-8474-BB902D6983C6}" name="Operador" dataDxfId="50" totalsRowDxfId="49"/>
    <tableColumn id="5" xr3:uid="{98386C95-9775-4F1F-A3CC-9A16E030AF66}" name="Produzidos" dataDxfId="48" totalsRowDxfId="47"/>
    <tableColumn id="6" xr3:uid="{3F049097-8486-4DDD-93F7-CCC691CC4860}" name="Perdas" dataDxfId="46" totalsRowDxfId="45"/>
    <tableColumn id="7" xr3:uid="{26B92E51-FF95-433C-9069-C56C7828476A}" name="Observação" dataDxfId="44" totalsRowDxfId="43"/>
    <tableColumn id="8" xr3:uid="{8B43B335-323F-4C61-82F4-07648230810B}" name="Coluna1" dataDxfId="42" totalsRowDxfId="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40" dataDxfId="38" headerRowBorderDxfId="39">
  <autoFilter ref="N1:Q27" xr:uid="{89285ECA-F282-4F01-A009-CC89A51CDC7A}"/>
  <tableColumns count="4">
    <tableColumn id="1" xr3:uid="{EDE6611D-5889-4C5E-8516-947DDEFF7DCC}" name="CANUDOS " totalsRowLabel="Total" dataDxfId="37" totalsRowDxfId="36"/>
    <tableColumn id="2" xr3:uid="{7D1A3E97-C617-4FD2-B05B-A97B6AD5F90C}" name="CORES" dataDxfId="35" totalsRowDxfId="34"/>
    <tableColumn id="3" xr3:uid="{03E79F60-8E38-46EF-92B4-918A623037DE}" name="DESCRIÇÃO" totalsRowFunction="count" dataDxfId="33"/>
    <tableColumn id="4" xr3:uid="{1B33BBDF-2D4E-45C0-873F-D04B114DCBBF}" name="os" dataDxfId="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31" dataDxfId="29" headerRowBorderDxfId="30">
  <autoFilter ref="R2:S5" xr:uid="{1FE77D6E-600C-406D-AA64-535CF7AD02D9}"/>
  <tableColumns count="2">
    <tableColumn id="1" xr3:uid="{065934BB-F4F9-47CC-8C25-186E2F5FD276}" name="NOME" dataDxfId="28"/>
    <tableColumn id="2" xr3:uid="{5F9476BD-3CB7-480B-BA25-725A0FDEB9A9}" name="RAMAL" dataDxfId="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95B68F-F434-4033-BFD9-2BB1AA7C7BF7}" name="Tabela3" displayName="Tabela3" ref="A1:G1048576" totalsRowShown="0" headerRowDxfId="26" headerRowBorderDxfId="25" tableBorderDxfId="24">
  <autoFilter ref="A1:G1048576" xr:uid="{CA95B68F-F434-4033-BFD9-2BB1AA7C7BF7}"/>
  <tableColumns count="7">
    <tableColumn id="1" xr3:uid="{0280B923-DB87-4E28-A2B5-2ABF26E67A3C}" name="Data" dataDxfId="23"/>
    <tableColumn id="2" xr3:uid="{CDEDA308-953F-46E8-8272-8EB68D248564}" name="Turno" dataDxfId="22"/>
    <tableColumn id="3" xr3:uid="{A09724A8-B36D-4AD5-98B7-ADD526A91EFB}" name="OS" dataDxfId="21"/>
    <tableColumn id="4" xr3:uid="{AF64C0A2-C8AC-47A7-BF73-70D43293AAAA}" name="Operador" dataDxfId="20"/>
    <tableColumn id="5" xr3:uid="{F74EB60A-3874-4909-8B14-62AD3728B999}" name="Produzidos" dataDxfId="19"/>
    <tableColumn id="6" xr3:uid="{124854EA-F6BE-4A3F-B8F0-8D4078EF15EC}" name="Perdas" dataDxfId="18"/>
    <tableColumn id="7" xr3:uid="{FAD2623B-15B5-49D0-88AC-906319948EA0}" name="Observação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61B123-99B4-407D-925F-D62D7C54D232}" name="Tabela17" displayName="Tabela17" ref="N1:Q27" headerRowDxfId="16" dataDxfId="14" headerRowBorderDxfId="15">
  <autoFilter ref="N1:Q27" xr:uid="{7C61B123-99B4-407D-925F-D62D7C54D232}"/>
  <tableColumns count="4">
    <tableColumn id="1" xr3:uid="{E76169FA-FCD1-44CA-96FF-791C61B530A3}" name="CANUDOS " totalsRowLabel="Total" dataDxfId="13" totalsRowDxfId="12"/>
    <tableColumn id="2" xr3:uid="{35FFF8DF-05B8-44FE-B351-F847EE90084A}" name="CORES" dataDxfId="11" totalsRowDxfId="10"/>
    <tableColumn id="3" xr3:uid="{9A289D66-8372-477D-979D-D9E4A4CA121C}" name="DESCRIÇÃO" totalsRowFunction="count" dataDxfId="9"/>
    <tableColumn id="4" xr3:uid="{0D9D8711-FBB3-4387-B4D2-D3D4718A6B6D}" name="os" dataDxfId="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F26BC4-2F5B-4DD0-B255-2DBF5E945A60}" name="Tabela7" displayName="Tabela7" ref="A1:E1048576" totalsRowShown="0" dataDxfId="6" headerRowBorderDxfId="7" tableBorderDxfId="5">
  <autoFilter ref="A1:E1048576" xr:uid="{B6F26BC4-2F5B-4DD0-B255-2DBF5E945A60}"/>
  <tableColumns count="5">
    <tableColumn id="1" xr3:uid="{A457A19A-4874-4397-B513-B6F9A3B0A60A}" name="Data" dataDxfId="4"/>
    <tableColumn id="2" xr3:uid="{95C69B8D-1A39-40CB-B5FA-F58DC3500DA7}" name="Turno" dataDxfId="3"/>
    <tableColumn id="3" xr3:uid="{046BEC21-BC63-4C71-8608-9399078C3481}" name="OPERADOR" dataDxfId="2"/>
    <tableColumn id="4" xr3:uid="{C3B0A1FD-B664-4E6E-9624-C807349AADDB}" name="OBSERVAÇÃO" dataDxfId="1"/>
    <tableColumn id="5" xr3:uid="{C7967862-84A2-4EDD-9459-5C2DFCE69540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30"/>
  <sheetViews>
    <sheetView topLeftCell="F1" zoomScale="98" zoomScaleNormal="98" workbookViewId="0">
      <selection activeCell="H130" sqref="H130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  <c r="R1" s="33" t="s">
        <v>56</v>
      </c>
      <c r="S1" s="34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8268.5943396226412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876471</v>
      </c>
      <c r="L3" s="4"/>
      <c r="M3" s="18">
        <f>SUM(F2:F2000)</f>
        <v>5157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C128" s="1">
        <v>1418443</v>
      </c>
      <c r="D128" s="1">
        <v>8524</v>
      </c>
      <c r="E128" s="1">
        <v>3152</v>
      </c>
      <c r="F128" s="1">
        <v>60</v>
      </c>
    </row>
    <row r="129" spans="1:8" x14ac:dyDescent="0.25">
      <c r="A129" s="2">
        <v>46084</v>
      </c>
      <c r="B129" s="1" t="s">
        <v>6</v>
      </c>
      <c r="D129" s="1">
        <v>8524</v>
      </c>
      <c r="F129" s="1" t="s">
        <v>17</v>
      </c>
      <c r="G129" s="1" t="s">
        <v>84</v>
      </c>
      <c r="H129" s="1" t="s">
        <v>17</v>
      </c>
    </row>
    <row r="130" spans="1:8" x14ac:dyDescent="0.25">
      <c r="A130" s="2">
        <v>46094</v>
      </c>
      <c r="B130" s="1" t="s">
        <v>6</v>
      </c>
      <c r="C130" s="1">
        <v>1418443</v>
      </c>
      <c r="D130" s="1">
        <v>8524</v>
      </c>
      <c r="E130" s="1">
        <v>6702</v>
      </c>
      <c r="F130" s="1">
        <v>70</v>
      </c>
      <c r="G130" s="1" t="s">
        <v>93</v>
      </c>
      <c r="H130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4300-00AC-4831-99DB-3D8CFD1F7B78}">
  <dimension ref="A1:Q27"/>
  <sheetViews>
    <sheetView topLeftCell="B1" workbookViewId="0">
      <selection activeCell="G13" sqref="G13"/>
    </sheetView>
  </sheetViews>
  <sheetFormatPr defaultRowHeight="15" x14ac:dyDescent="0.25"/>
  <cols>
    <col min="1" max="6" width="20" style="1" customWidth="1"/>
    <col min="7" max="7" width="20.5703125" style="1" customWidth="1"/>
    <col min="8" max="8" width="20" customWidth="1"/>
    <col min="9" max="9" width="16.7109375" customWidth="1"/>
    <col min="10" max="10" width="20.42578125" customWidth="1"/>
    <col min="11" max="13" width="16.7109375" customWidth="1"/>
    <col min="14" max="17" width="26.140625" customWidth="1"/>
  </cols>
  <sheetData>
    <row r="1" spans="1:17" ht="54" customHeight="1" x14ac:dyDescent="0.25">
      <c r="A1" s="29" t="s">
        <v>1</v>
      </c>
      <c r="B1" s="30" t="s">
        <v>4</v>
      </c>
      <c r="C1" s="30" t="s">
        <v>0</v>
      </c>
      <c r="D1" s="30" t="s">
        <v>5</v>
      </c>
      <c r="E1" s="30" t="s">
        <v>2</v>
      </c>
      <c r="F1" s="30" t="s">
        <v>3</v>
      </c>
      <c r="G1" s="30" t="s">
        <v>10</v>
      </c>
      <c r="H1" s="28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</row>
    <row r="2" spans="1:17" x14ac:dyDescent="0.25">
      <c r="A2" s="2">
        <v>46084</v>
      </c>
      <c r="B2" s="1" t="s">
        <v>6</v>
      </c>
      <c r="C2" s="1">
        <v>1406169</v>
      </c>
      <c r="D2" s="1">
        <v>8524</v>
      </c>
      <c r="E2" s="1">
        <v>3200</v>
      </c>
      <c r="F2" s="1">
        <v>200</v>
      </c>
      <c r="G2" s="1" t="s">
        <v>85</v>
      </c>
      <c r="H2" t="s">
        <v>17</v>
      </c>
      <c r="I2" s="13"/>
      <c r="J2" s="14">
        <f>AVERAGE(E2:E206)</f>
        <v>1711.7142857142858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Q2" s="1"/>
    </row>
    <row r="3" spans="1:17" x14ac:dyDescent="0.25">
      <c r="A3" s="2">
        <v>46085</v>
      </c>
      <c r="B3" s="1" t="s">
        <v>6</v>
      </c>
      <c r="C3" s="1">
        <v>1406169</v>
      </c>
      <c r="D3" s="1">
        <v>8524</v>
      </c>
      <c r="E3" s="1">
        <v>2000</v>
      </c>
      <c r="F3" s="1">
        <v>200</v>
      </c>
      <c r="G3" s="1" t="s">
        <v>85</v>
      </c>
      <c r="H3" t="s">
        <v>17</v>
      </c>
      <c r="I3" s="12"/>
      <c r="J3" s="1"/>
      <c r="K3" s="4">
        <f>SUM(E2:E2000)</f>
        <v>11982</v>
      </c>
      <c r="L3" s="4"/>
      <c r="M3" s="18">
        <f>SUM(F2:F2000)</f>
        <v>1059</v>
      </c>
      <c r="N3" s="1" t="s">
        <v>27</v>
      </c>
      <c r="O3" s="1">
        <v>24</v>
      </c>
      <c r="P3" s="1" t="s">
        <v>29</v>
      </c>
      <c r="Q3" s="1">
        <v>1406169</v>
      </c>
    </row>
    <row r="4" spans="1:17" x14ac:dyDescent="0.25">
      <c r="A4" s="2">
        <v>46086</v>
      </c>
      <c r="B4" s="1" t="s">
        <v>6</v>
      </c>
      <c r="D4" s="1">
        <v>8524</v>
      </c>
      <c r="F4" s="1" t="s">
        <v>17</v>
      </c>
      <c r="G4" s="1" t="s">
        <v>88</v>
      </c>
      <c r="H4" t="s">
        <v>17</v>
      </c>
      <c r="I4" s="4">
        <f>I2+I3</f>
        <v>0</v>
      </c>
      <c r="J4" s="1"/>
      <c r="K4" s="1"/>
      <c r="L4" s="1"/>
      <c r="M4" s="1"/>
      <c r="N4" s="1" t="s">
        <v>27</v>
      </c>
      <c r="O4" s="1">
        <v>25</v>
      </c>
      <c r="P4" s="1" t="s">
        <v>30</v>
      </c>
      <c r="Q4" s="1"/>
    </row>
    <row r="5" spans="1:17" x14ac:dyDescent="0.25">
      <c r="A5" s="2">
        <v>46087</v>
      </c>
      <c r="B5" s="1" t="s">
        <v>6</v>
      </c>
      <c r="C5" s="1">
        <v>1406169</v>
      </c>
      <c r="D5" s="1">
        <v>8524</v>
      </c>
      <c r="E5" s="1">
        <v>364</v>
      </c>
      <c r="F5" s="1">
        <v>100</v>
      </c>
      <c r="G5" s="1" t="s">
        <v>89</v>
      </c>
      <c r="H5" t="s">
        <v>17</v>
      </c>
      <c r="N5" s="1" t="s">
        <v>27</v>
      </c>
      <c r="O5" s="1">
        <v>30</v>
      </c>
      <c r="P5" s="1" t="s">
        <v>31</v>
      </c>
      <c r="Q5" s="1"/>
    </row>
    <row r="6" spans="1:17" x14ac:dyDescent="0.25">
      <c r="A6" s="2">
        <v>46090</v>
      </c>
      <c r="B6" s="1" t="s">
        <v>6</v>
      </c>
      <c r="C6" s="1">
        <v>1406169</v>
      </c>
      <c r="D6" s="1">
        <v>8524</v>
      </c>
      <c r="E6" s="1">
        <v>1672</v>
      </c>
      <c r="F6" s="1">
        <v>73</v>
      </c>
      <c r="G6" s="1" t="s">
        <v>90</v>
      </c>
      <c r="H6" t="s">
        <v>17</v>
      </c>
      <c r="N6" s="1" t="s">
        <v>27</v>
      </c>
      <c r="O6" s="1">
        <v>173</v>
      </c>
      <c r="P6" s="1" t="s">
        <v>32</v>
      </c>
      <c r="Q6" s="1">
        <v>1353670</v>
      </c>
    </row>
    <row r="7" spans="1:17" x14ac:dyDescent="0.25">
      <c r="A7" s="2">
        <v>46093</v>
      </c>
      <c r="B7" s="1" t="s">
        <v>6</v>
      </c>
      <c r="C7" s="1">
        <v>1406169</v>
      </c>
      <c r="D7" s="1">
        <v>8524</v>
      </c>
      <c r="E7" s="1">
        <v>360</v>
      </c>
      <c r="F7" s="1">
        <v>300</v>
      </c>
      <c r="G7" s="1" t="s">
        <v>91</v>
      </c>
      <c r="H7" t="s">
        <v>17</v>
      </c>
      <c r="N7" s="1" t="s">
        <v>27</v>
      </c>
      <c r="O7" s="1">
        <v>187</v>
      </c>
      <c r="P7" s="17" t="s">
        <v>9</v>
      </c>
      <c r="Q7" s="1"/>
    </row>
    <row r="8" spans="1:17" x14ac:dyDescent="0.25">
      <c r="A8" s="2">
        <v>46094</v>
      </c>
      <c r="B8" s="1" t="s">
        <v>6</v>
      </c>
      <c r="C8" s="1">
        <v>1406169</v>
      </c>
      <c r="D8" s="1">
        <v>8524</v>
      </c>
      <c r="E8" s="1">
        <v>3300</v>
      </c>
      <c r="F8" s="1">
        <v>120</v>
      </c>
      <c r="N8" s="1" t="s">
        <v>27</v>
      </c>
      <c r="O8" s="1">
        <v>188</v>
      </c>
      <c r="P8" s="1" t="s">
        <v>33</v>
      </c>
      <c r="Q8" s="1"/>
    </row>
    <row r="9" spans="1:17" x14ac:dyDescent="0.25">
      <c r="A9" s="2">
        <v>46095</v>
      </c>
      <c r="B9" s="1" t="s">
        <v>6</v>
      </c>
      <c r="C9" s="1">
        <v>1406169</v>
      </c>
      <c r="D9" s="1">
        <v>8524</v>
      </c>
      <c r="E9" s="1">
        <v>1086</v>
      </c>
      <c r="F9" s="1">
        <v>66</v>
      </c>
      <c r="G9" s="1" t="s">
        <v>94</v>
      </c>
      <c r="H9" t="s">
        <v>17</v>
      </c>
      <c r="N9" s="1" t="s">
        <v>27</v>
      </c>
      <c r="O9" s="1">
        <v>190</v>
      </c>
      <c r="P9" s="1" t="s">
        <v>34</v>
      </c>
      <c r="Q9" s="1"/>
    </row>
    <row r="10" spans="1:17" x14ac:dyDescent="0.25">
      <c r="N10" s="1" t="s">
        <v>27</v>
      </c>
      <c r="O10" s="1">
        <v>411</v>
      </c>
      <c r="P10" s="1" t="s">
        <v>35</v>
      </c>
      <c r="Q10" s="1"/>
    </row>
    <row r="11" spans="1:17" x14ac:dyDescent="0.25">
      <c r="N11" s="1" t="s">
        <v>27</v>
      </c>
      <c r="O11" s="1">
        <v>474</v>
      </c>
      <c r="P11" s="1" t="s">
        <v>36</v>
      </c>
      <c r="Q11" s="1"/>
    </row>
    <row r="12" spans="1:17" x14ac:dyDescent="0.25">
      <c r="N12" s="1" t="s">
        <v>27</v>
      </c>
      <c r="O12" s="1">
        <v>475</v>
      </c>
      <c r="P12" s="1" t="s">
        <v>37</v>
      </c>
      <c r="Q12" s="1"/>
    </row>
    <row r="13" spans="1:17" x14ac:dyDescent="0.25">
      <c r="N13" s="1" t="s">
        <v>27</v>
      </c>
      <c r="O13" s="1">
        <v>476</v>
      </c>
      <c r="P13" s="1" t="s">
        <v>38</v>
      </c>
      <c r="Q13" s="1"/>
    </row>
    <row r="14" spans="1:17" x14ac:dyDescent="0.25">
      <c r="N14" s="1" t="s">
        <v>27</v>
      </c>
      <c r="O14" s="1">
        <v>477</v>
      </c>
      <c r="P14" s="17" t="s">
        <v>39</v>
      </c>
      <c r="Q14" s="1">
        <v>1389060</v>
      </c>
    </row>
    <row r="15" spans="1:17" x14ac:dyDescent="0.25">
      <c r="N15" s="1" t="s">
        <v>27</v>
      </c>
      <c r="O15" s="1">
        <v>596</v>
      </c>
      <c r="P15" s="1" t="s">
        <v>40</v>
      </c>
      <c r="Q15" s="1"/>
    </row>
    <row r="16" spans="1:17" x14ac:dyDescent="0.25">
      <c r="N16" s="1" t="s">
        <v>27</v>
      </c>
      <c r="O16" s="1">
        <v>639</v>
      </c>
      <c r="P16" s="1" t="s">
        <v>41</v>
      </c>
      <c r="Q16" s="1"/>
    </row>
    <row r="17" spans="14:17" x14ac:dyDescent="0.25">
      <c r="N17" s="1" t="s">
        <v>27</v>
      </c>
      <c r="O17" s="1">
        <v>647</v>
      </c>
      <c r="P17" s="1" t="s">
        <v>42</v>
      </c>
      <c r="Q17" s="1"/>
    </row>
    <row r="18" spans="14:17" x14ac:dyDescent="0.25">
      <c r="N18" s="1" t="s">
        <v>27</v>
      </c>
      <c r="O18" s="1">
        <v>648</v>
      </c>
      <c r="P18" s="1" t="s">
        <v>43</v>
      </c>
      <c r="Q18" s="1"/>
    </row>
    <row r="19" spans="14:17" x14ac:dyDescent="0.25">
      <c r="N19" s="1" t="s">
        <v>27</v>
      </c>
      <c r="O19" s="1">
        <v>649</v>
      </c>
      <c r="P19" s="1" t="s">
        <v>44</v>
      </c>
      <c r="Q19" s="1"/>
    </row>
    <row r="20" spans="14:17" x14ac:dyDescent="0.25">
      <c r="N20" s="1" t="s">
        <v>27</v>
      </c>
      <c r="O20" s="1">
        <v>767</v>
      </c>
      <c r="P20" s="1" t="s">
        <v>45</v>
      </c>
      <c r="Q20" s="1"/>
    </row>
    <row r="21" spans="14:17" x14ac:dyDescent="0.25">
      <c r="N21" s="1" t="s">
        <v>27</v>
      </c>
      <c r="O21" s="1">
        <v>888</v>
      </c>
      <c r="P21" s="1" t="s">
        <v>46</v>
      </c>
      <c r="Q21" s="1"/>
    </row>
    <row r="22" spans="14:17" x14ac:dyDescent="0.25">
      <c r="N22" s="1" t="s">
        <v>27</v>
      </c>
      <c r="O22" s="1">
        <v>1149</v>
      </c>
      <c r="P22" s="1" t="s">
        <v>47</v>
      </c>
      <c r="Q22" s="1">
        <v>1404598</v>
      </c>
    </row>
    <row r="23" spans="14:17" x14ac:dyDescent="0.25">
      <c r="N23" s="1" t="s">
        <v>27</v>
      </c>
      <c r="O23" s="1">
        <v>1157</v>
      </c>
      <c r="P23" s="1" t="s">
        <v>48</v>
      </c>
      <c r="Q23" s="1"/>
    </row>
    <row r="24" spans="14:17" x14ac:dyDescent="0.25">
      <c r="N24" s="1" t="s">
        <v>27</v>
      </c>
      <c r="O24" s="1">
        <v>1174</v>
      </c>
      <c r="P24" s="1" t="s">
        <v>49</v>
      </c>
      <c r="Q24" s="1">
        <v>308564</v>
      </c>
    </row>
    <row r="25" spans="14:17" x14ac:dyDescent="0.25">
      <c r="N25" s="1" t="s">
        <v>27</v>
      </c>
      <c r="O25" s="1">
        <v>1202</v>
      </c>
      <c r="P25" s="1" t="s">
        <v>50</v>
      </c>
      <c r="Q25" s="1"/>
    </row>
    <row r="26" spans="14:17" x14ac:dyDescent="0.25">
      <c r="N26" s="1" t="s">
        <v>27</v>
      </c>
      <c r="O26" s="1">
        <v>1345</v>
      </c>
      <c r="P26" s="1" t="s">
        <v>51</v>
      </c>
      <c r="Q26" s="1"/>
    </row>
    <row r="27" spans="14:17" x14ac:dyDescent="0.25">
      <c r="N27" s="1" t="s">
        <v>27</v>
      </c>
      <c r="O27" s="1">
        <v>1498</v>
      </c>
      <c r="P27" s="1" t="s">
        <v>52</v>
      </c>
      <c r="Q27" s="1"/>
    </row>
  </sheetData>
  <mergeCells count="1">
    <mergeCell ref="K1:M1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184B-1E33-47EF-9675-0892F220B5E2}">
  <dimension ref="A1:E4"/>
  <sheetViews>
    <sheetView tabSelected="1" workbookViewId="0">
      <selection activeCell="E8" sqref="E8"/>
    </sheetView>
  </sheetViews>
  <sheetFormatPr defaultRowHeight="15" x14ac:dyDescent="0.25"/>
  <cols>
    <col min="1" max="4" width="23.7109375" style="1" customWidth="1"/>
    <col min="5" max="5" width="21.5703125" style="1" customWidth="1"/>
  </cols>
  <sheetData>
    <row r="1" spans="1:5" ht="53.25" customHeight="1" x14ac:dyDescent="0.25">
      <c r="A1" s="29" t="s">
        <v>1</v>
      </c>
      <c r="B1" s="30" t="s">
        <v>4</v>
      </c>
      <c r="C1" s="30" t="s">
        <v>86</v>
      </c>
      <c r="D1" s="29" t="s">
        <v>87</v>
      </c>
      <c r="E1" s="31" t="s">
        <v>18</v>
      </c>
    </row>
    <row r="2" spans="1:5" x14ac:dyDescent="0.25">
      <c r="A2" s="2">
        <v>46086</v>
      </c>
      <c r="B2" s="1" t="s">
        <v>6</v>
      </c>
      <c r="C2" s="1">
        <v>8524</v>
      </c>
      <c r="D2" s="1" t="s">
        <v>88</v>
      </c>
      <c r="E2" s="1" t="s">
        <v>17</v>
      </c>
    </row>
    <row r="3" spans="1:5" x14ac:dyDescent="0.25">
      <c r="A3" s="2">
        <v>46093</v>
      </c>
      <c r="B3" s="1" t="s">
        <v>6</v>
      </c>
      <c r="C3" s="1">
        <v>8524</v>
      </c>
      <c r="D3" s="1" t="s">
        <v>92</v>
      </c>
      <c r="E3" s="1" t="s">
        <v>17</v>
      </c>
    </row>
    <row r="4" spans="1:5" x14ac:dyDescent="0.25">
      <c r="A4" s="2">
        <v>46095</v>
      </c>
      <c r="B4" s="1" t="s">
        <v>6</v>
      </c>
      <c r="C4" s="1">
        <v>8524</v>
      </c>
      <c r="D4" s="1" t="s">
        <v>95</v>
      </c>
      <c r="E4" s="1" t="s">
        <v>17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ENCABEÇAMENTO</vt:lpstr>
      <vt:lpstr>ARTE</vt:lpstr>
      <vt:lpstr>OBSERVAÇÕES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2026-03-14T16:55:28Z</dcterms:modified>
</cp:coreProperties>
</file>